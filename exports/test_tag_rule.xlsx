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b val="1"/>
      <color rgb="007030A0"/>
      <sz val="9"/>
    </font>
    <font>
      <name val="Segoe UI"/>
      <color rgb="006C757D"/>
      <sz val="9"/>
    </font>
    <font>
      <name val="Segoe UI"/>
      <b val="1"/>
      <color rgb="002E75B6"/>
      <sz val="9"/>
    </font>
    <font>
      <name val="Segoe UI"/>
      <b val="1"/>
      <color rgb="001E7E34"/>
      <sz val="10"/>
    </font>
    <font>
      <name val="Segoe UI"/>
      <color rgb="00333333"/>
      <sz val="9"/>
    </font>
    <font>
      <name val="Segoe UI"/>
      <b val="1"/>
      <color rgb="000056B3"/>
      <sz val="10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2F5F9"/>
      </patternFill>
    </fill>
    <fill>
      <patternFill patternType="solid">
        <fgColor rgb="00FFF2CC"/>
      </patternFill>
    </fill>
    <fill>
      <patternFill patternType="solid">
        <fgColor rgb="00E6F7F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3" fontId="10" fillId="8" borderId="8" applyAlignment="1" pivotButton="0" quotePrefix="0" xfId="0">
      <alignment horizontal="center" vertical="center"/>
    </xf>
    <xf numFmtId="0" fontId="10" fillId="8" borderId="8" applyAlignment="1" pivotButton="0" quotePrefix="0" xfId="0">
      <alignment horizontal="center" vertical="center"/>
    </xf>
    <xf numFmtId="0" fontId="10" fillId="8" borderId="8" applyAlignment="1" pivotButton="0" quotePrefix="0" xfId="0">
      <alignment horizontal="right" vertical="center"/>
    </xf>
    <xf numFmtId="0" fontId="10" fillId="8" borderId="8" applyAlignment="1" pivotButton="0" quotePrefix="0" xfId="0">
      <alignment horizontal="left" vertical="center"/>
    </xf>
    <xf numFmtId="4" fontId="10" fillId="8" borderId="8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3" fillId="7" borderId="1" applyAlignment="1" pivotButton="0" quotePrefix="0" xfId="0">
      <alignment horizontal="center" vertical="center"/>
    </xf>
    <xf numFmtId="49" fontId="3" fillId="7" borderId="1" applyAlignment="1" pivotButton="0" quotePrefix="0" xfId="0">
      <alignment horizontal="right" vertical="center"/>
    </xf>
    <xf numFmtId="49" fontId="10" fillId="8" borderId="8" applyAlignment="1" pivotButton="0" quotePrefix="0" xfId="0">
      <alignment horizontal="center" vertical="center"/>
    </xf>
    <xf numFmtId="49" fontId="10" fillId="8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45" customWidth="1" min="4" max="4"/>
    <col width="45" customWidth="1" min="5" max="5"/>
    <col width="10" customWidth="1" min="6" max="6"/>
    <col width="4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9" customWidth="1" min="16" max="16"/>
    <col width="16" customWidth="1" min="17" max="17"/>
    <col width="17" customWidth="1" min="18" max="18"/>
    <col width="18" customWidth="1" min="19" max="19"/>
    <col width="20" customWidth="1" min="20" max="20"/>
    <col width="17" customWidth="1" min="21" max="21"/>
    <col width="11" customWidth="1" min="22" max="22"/>
    <col width="10" customWidth="1" min="23" max="23"/>
    <col width="35" customWidth="1" min="24" max="24"/>
    <col width="10" customWidth="1" min="25" max="25"/>
    <col width="11" customWidth="1" min="26" max="26"/>
    <col width="13" customWidth="1" min="27" max="27"/>
    <col width="11" customWidth="1" min="28" max="28"/>
    <col width="10" customWidth="1" min="29" max="29"/>
    <col width="11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14" customWidth="1" min="95" max="95"/>
    <col width="14" customWidth="1" min="96" max="96"/>
    <col width="12" customWidth="1" min="97" max="97"/>
    <col width="15" customWidth="1" min="98" max="98"/>
    <col width="14" customWidth="1" min="99" max="99"/>
    <col width="15" customWidth="1" min="100" max="100"/>
    <col width="10" customWidth="1" min="101" max="101"/>
    <col width="28" customWidth="1" min="102" max="102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Margin
(%)</t>
        </is>
      </c>
      <c r="M1" s="1" t="inlineStr">
        <is>
          <t>Shati P</t>
        </is>
      </c>
      <c r="N1" s="1" t="inlineStr">
        <is>
          <t>SO Price</t>
        </is>
      </c>
      <c r="O1" s="1" t="inlineStr">
        <is>
          <t>Min P</t>
        </is>
      </c>
      <c r="P1" s="1" t="inlineStr">
        <is>
          <t>خصم البيع
(Pricelist Disc)</t>
        </is>
      </c>
      <c r="Q1" s="1" t="inlineStr">
        <is>
          <t>نوع الاحتساب
(Computation)</t>
        </is>
      </c>
      <c r="R1" s="1" t="inlineStr">
        <is>
          <t>وسم الخصم
(Rule Tag)</t>
        </is>
      </c>
      <c r="S1" s="1" t="inlineStr">
        <is>
          <t>التكلفة الفعلية
(Actual Cost)</t>
        </is>
      </c>
      <c r="T1" s="1" t="inlineStr">
        <is>
          <t>هامش الربح الفعلي
(Excl. VAT)</t>
        </is>
      </c>
      <c r="U1" s="1" t="inlineStr">
        <is>
          <t>السعر الجديد
(شامل الضريبة)</t>
        </is>
      </c>
      <c r="V1" s="1" t="inlineStr">
        <is>
          <t>Quantity
On Hand</t>
        </is>
      </c>
      <c r="W1" s="1" t="inlineStr">
        <is>
          <t>365d
Sold</t>
        </is>
      </c>
      <c r="X1" s="1" t="inlineStr">
        <is>
          <t>Vendor</t>
        </is>
      </c>
      <c r="Y1" s="1" t="inlineStr">
        <is>
          <t>Vendor
Price</t>
        </is>
      </c>
      <c r="Z1" s="1" t="inlineStr">
        <is>
          <t>Discount
(%)</t>
        </is>
      </c>
      <c r="AA1" s="1" t="inlineStr">
        <is>
          <t>Discounted
Price</t>
        </is>
      </c>
      <c r="AB1" s="1" t="inlineStr">
        <is>
          <t>Last
Purchase</t>
        </is>
      </c>
      <c r="AC1" s="1" t="inlineStr">
        <is>
          <t>Last
Updated</t>
        </is>
      </c>
      <c r="AD1" s="1" t="inlineStr">
        <is>
          <t>Last Qty
Received</t>
        </is>
      </c>
      <c r="AE1" s="2" t="inlineStr">
        <is>
          <t>معرض الشربتلي</t>
        </is>
      </c>
      <c r="AF1" s="3" t="n"/>
      <c r="AG1" s="2" t="inlineStr">
        <is>
          <t>معرض البطاطي</t>
        </is>
      </c>
      <c r="AH1" s="3" t="n"/>
      <c r="AI1" s="2" t="inlineStr">
        <is>
          <t>معرض الاسنوي</t>
        </is>
      </c>
      <c r="AJ1" s="3" t="n"/>
      <c r="AK1" s="2" t="inlineStr">
        <is>
          <t>معرض الذهب</t>
        </is>
      </c>
      <c r="AL1" s="3" t="n"/>
      <c r="AM1" s="2" t="inlineStr">
        <is>
          <t>معرض باناجة</t>
        </is>
      </c>
      <c r="AN1" s="3" t="n"/>
      <c r="AO1" s="4" t="inlineStr">
        <is>
          <t>معرض الصفاء</t>
        </is>
      </c>
      <c r="AP1" s="3" t="n"/>
      <c r="AQ1" s="2" t="inlineStr">
        <is>
          <t>معرض الاوقاف</t>
        </is>
      </c>
      <c r="AR1" s="3" t="n"/>
      <c r="AS1" s="2" t="inlineStr">
        <is>
          <t>معرض البوادي</t>
        </is>
      </c>
      <c r="AT1" s="3" t="n"/>
      <c r="AU1" s="2" t="inlineStr">
        <is>
          <t>معرض مكة الستين</t>
        </is>
      </c>
      <c r="AV1" s="3" t="n"/>
      <c r="AW1" s="2" t="inlineStr">
        <is>
          <t>معرض مكة الشرائع</t>
        </is>
      </c>
      <c r="AX1" s="3" t="n"/>
      <c r="AY1" s="4" t="inlineStr">
        <is>
          <t>معرض الطايف</t>
        </is>
      </c>
      <c r="AZ1" s="3" t="n"/>
      <c r="BA1" s="2" t="inlineStr">
        <is>
          <t>معرض ينبع</t>
        </is>
      </c>
      <c r="BB1" s="3" t="n"/>
      <c r="BC1" s="4" t="inlineStr">
        <is>
          <t>معرض الحمدانية</t>
        </is>
      </c>
      <c r="BD1" s="3" t="n"/>
      <c r="BE1" s="2" t="inlineStr">
        <is>
          <t>معرض الدراجة MS</t>
        </is>
      </c>
      <c r="BF1" s="3" t="n"/>
      <c r="BG1" s="2" t="inlineStr">
        <is>
          <t>معرض البوادي MS</t>
        </is>
      </c>
      <c r="BH1" s="3" t="n"/>
      <c r="BI1" s="2" t="inlineStr">
        <is>
          <t>معرض قربان MS</t>
        </is>
      </c>
      <c r="BJ1" s="3" t="n"/>
      <c r="BK1" s="2" t="inlineStr">
        <is>
          <t>معرض مكة العزيزة</t>
        </is>
      </c>
      <c r="BL1" s="3" t="n"/>
      <c r="BM1" s="2" t="inlineStr">
        <is>
          <t>معرض الوزرية</t>
        </is>
      </c>
      <c r="BN1" s="3" t="n"/>
      <c r="BO1" s="4" t="inlineStr">
        <is>
          <t>سوق الشاطئ</t>
        </is>
      </c>
      <c r="BP1" s="3" t="n"/>
      <c r="BQ1" s="2" t="inlineStr">
        <is>
          <t>معرض المكرونة 2</t>
        </is>
      </c>
      <c r="BR1" s="3" t="n"/>
      <c r="BS1" s="2" t="inlineStr">
        <is>
          <t>معرض الخزان</t>
        </is>
      </c>
      <c r="BT1" s="3" t="n"/>
      <c r="BU1" s="2" t="inlineStr">
        <is>
          <t>معرض المعقلية MS</t>
        </is>
      </c>
      <c r="BV1" s="3" t="n"/>
      <c r="BW1" s="2" t="inlineStr">
        <is>
          <t>معرض الدمام</t>
        </is>
      </c>
      <c r="BX1" s="3" t="n"/>
      <c r="BY1" s="2" t="inlineStr">
        <is>
          <t>معرض الاحساء الهفوف</t>
        </is>
      </c>
      <c r="BZ1" s="3" t="n"/>
      <c r="CA1" s="2" t="inlineStr">
        <is>
          <t>معرض الحب MS</t>
        </is>
      </c>
      <c r="CB1" s="3" t="n"/>
      <c r="CC1" s="2" t="inlineStr">
        <is>
          <t>معرض العسكرية</t>
        </is>
      </c>
      <c r="CD1" s="3" t="n"/>
      <c r="CE1" s="2" t="inlineStr">
        <is>
          <t>معرض خميس البلد</t>
        </is>
      </c>
      <c r="CF1" s="3" t="n"/>
      <c r="CG1" s="2" t="inlineStr">
        <is>
          <t>معرض محايل عسير</t>
        </is>
      </c>
      <c r="CH1" s="3" t="n"/>
      <c r="CI1" s="2" t="inlineStr">
        <is>
          <t>معرض جيزان الاسرة</t>
        </is>
      </c>
      <c r="CJ1" s="3" t="n"/>
      <c r="CK1" s="2" t="inlineStr">
        <is>
          <t>معرض صبيا</t>
        </is>
      </c>
      <c r="CL1" s="3" t="n"/>
      <c r="CM1" s="2" t="inlineStr">
        <is>
          <t>فرع مس برتي</t>
        </is>
      </c>
      <c r="CN1" s="3" t="n"/>
      <c r="CO1" s="2" t="inlineStr">
        <is>
          <t>فرع النورية</t>
        </is>
      </c>
      <c r="CP1" s="3" t="n"/>
      <c r="CQ1" s="5" t="inlineStr">
        <is>
          <t>إجمالي رصيد
المعارض</t>
        </is>
      </c>
      <c r="CR1" s="5" t="inlineStr">
        <is>
          <t>إجمالي مبيعات
المعارض</t>
        </is>
      </c>
      <c r="CS1" s="5" t="inlineStr">
        <is>
          <t>أيام التغطية
(DOI)</t>
        </is>
      </c>
      <c r="CT1" s="5" t="inlineStr">
        <is>
          <t>حالة الصنف</t>
        </is>
      </c>
      <c r="CU1" s="5" t="inlineStr">
        <is>
          <t>الطلب المقترح
(60 يوم)</t>
        </is>
      </c>
      <c r="CV1" s="5" t="inlineStr">
        <is>
          <t>قيمة الطلب
المقترح (ريال)</t>
        </is>
      </c>
      <c r="CW1" s="5" t="inlineStr">
        <is>
          <t>تصنيف
ABC</t>
        </is>
      </c>
      <c r="CX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7" t="inlineStr">
        <is>
          <t>On Hand</t>
        </is>
      </c>
      <c r="AF2" s="7" t="inlineStr">
        <is>
          <t>Sold</t>
        </is>
      </c>
      <c r="AG2" s="7" t="inlineStr">
        <is>
          <t>On Hand</t>
        </is>
      </c>
      <c r="AH2" s="7" t="inlineStr">
        <is>
          <t>Sold</t>
        </is>
      </c>
      <c r="AI2" s="7" t="inlineStr">
        <is>
          <t>On Hand</t>
        </is>
      </c>
      <c r="AJ2" s="7" t="inlineStr">
        <is>
          <t>Sold</t>
        </is>
      </c>
      <c r="AK2" s="7" t="inlineStr">
        <is>
          <t>On Hand</t>
        </is>
      </c>
      <c r="AL2" s="7" t="inlineStr">
        <is>
          <t>Sold</t>
        </is>
      </c>
      <c r="AM2" s="7" t="inlineStr">
        <is>
          <t>On Hand</t>
        </is>
      </c>
      <c r="AN2" s="7" t="inlineStr">
        <is>
          <t>Sold</t>
        </is>
      </c>
      <c r="AO2" s="8" t="inlineStr">
        <is>
          <t>On Hand</t>
        </is>
      </c>
      <c r="AP2" s="8" t="inlineStr">
        <is>
          <t>Sold</t>
        </is>
      </c>
      <c r="AQ2" s="7" t="inlineStr">
        <is>
          <t>On Hand</t>
        </is>
      </c>
      <c r="AR2" s="7" t="inlineStr">
        <is>
          <t>Sold</t>
        </is>
      </c>
      <c r="AS2" s="7" t="inlineStr">
        <is>
          <t>On Hand</t>
        </is>
      </c>
      <c r="AT2" s="7" t="inlineStr">
        <is>
          <t>Sold</t>
        </is>
      </c>
      <c r="AU2" s="7" t="inlineStr">
        <is>
          <t>On Hand</t>
        </is>
      </c>
      <c r="AV2" s="7" t="inlineStr">
        <is>
          <t>Sold</t>
        </is>
      </c>
      <c r="AW2" s="7" t="inlineStr">
        <is>
          <t>On Hand</t>
        </is>
      </c>
      <c r="AX2" s="7" t="inlineStr">
        <is>
          <t>Sold</t>
        </is>
      </c>
      <c r="AY2" s="8" t="inlineStr">
        <is>
          <t>On Hand</t>
        </is>
      </c>
      <c r="AZ2" s="8" t="inlineStr">
        <is>
          <t>Sold</t>
        </is>
      </c>
      <c r="BA2" s="7" t="inlineStr">
        <is>
          <t>On Hand</t>
        </is>
      </c>
      <c r="BB2" s="7" t="inlineStr">
        <is>
          <t>Sold</t>
        </is>
      </c>
      <c r="BC2" s="8" t="inlineStr">
        <is>
          <t>On Hand</t>
        </is>
      </c>
      <c r="BD2" s="8" t="inlineStr">
        <is>
          <t>Sold</t>
        </is>
      </c>
      <c r="BE2" s="7" t="inlineStr">
        <is>
          <t>On Hand</t>
        </is>
      </c>
      <c r="BF2" s="7" t="inlineStr">
        <is>
          <t>Sold</t>
        </is>
      </c>
      <c r="BG2" s="7" t="inlineStr">
        <is>
          <t>On Hand</t>
        </is>
      </c>
      <c r="BH2" s="7" t="inlineStr">
        <is>
          <t>Sold</t>
        </is>
      </c>
      <c r="BI2" s="7" t="inlineStr">
        <is>
          <t>On Hand</t>
        </is>
      </c>
      <c r="BJ2" s="7" t="inlineStr">
        <is>
          <t>Sold</t>
        </is>
      </c>
      <c r="BK2" s="7" t="inlineStr">
        <is>
          <t>On Hand</t>
        </is>
      </c>
      <c r="BL2" s="7" t="inlineStr">
        <is>
          <t>Sold</t>
        </is>
      </c>
      <c r="BM2" s="7" t="inlineStr">
        <is>
          <t>On Hand</t>
        </is>
      </c>
      <c r="BN2" s="7" t="inlineStr">
        <is>
          <t>Sold</t>
        </is>
      </c>
      <c r="BO2" s="8" t="inlineStr">
        <is>
          <t>On Hand</t>
        </is>
      </c>
      <c r="BP2" s="8" t="inlineStr">
        <is>
          <t>Sold</t>
        </is>
      </c>
      <c r="BQ2" s="7" t="inlineStr">
        <is>
          <t>On Hand</t>
        </is>
      </c>
      <c r="BR2" s="7" t="inlineStr">
        <is>
          <t>Sold</t>
        </is>
      </c>
      <c r="BS2" s="7" t="inlineStr">
        <is>
          <t>On Hand</t>
        </is>
      </c>
      <c r="BT2" s="7" t="inlineStr">
        <is>
          <t>Sold</t>
        </is>
      </c>
      <c r="BU2" s="7" t="inlineStr">
        <is>
          <t>On Hand</t>
        </is>
      </c>
      <c r="BV2" s="7" t="inlineStr">
        <is>
          <t>Sold</t>
        </is>
      </c>
      <c r="BW2" s="7" t="inlineStr">
        <is>
          <t>On Hand</t>
        </is>
      </c>
      <c r="BX2" s="7" t="inlineStr">
        <is>
          <t>Sold</t>
        </is>
      </c>
      <c r="BY2" s="7" t="inlineStr">
        <is>
          <t>On Hand</t>
        </is>
      </c>
      <c r="BZ2" s="7" t="inlineStr">
        <is>
          <t>Sold</t>
        </is>
      </c>
      <c r="CA2" s="7" t="inlineStr">
        <is>
          <t>On Hand</t>
        </is>
      </c>
      <c r="CB2" s="7" t="inlineStr">
        <is>
          <t>Sold</t>
        </is>
      </c>
      <c r="CC2" s="7" t="inlineStr">
        <is>
          <t>On Hand</t>
        </is>
      </c>
      <c r="CD2" s="7" t="inlineStr">
        <is>
          <t>Sold</t>
        </is>
      </c>
      <c r="CE2" s="7" t="inlineStr">
        <is>
          <t>On Hand</t>
        </is>
      </c>
      <c r="CF2" s="7" t="inlineStr">
        <is>
          <t>Sold</t>
        </is>
      </c>
      <c r="CG2" s="7" t="inlineStr">
        <is>
          <t>On Hand</t>
        </is>
      </c>
      <c r="CH2" s="7" t="inlineStr">
        <is>
          <t>Sold</t>
        </is>
      </c>
      <c r="CI2" s="7" t="inlineStr">
        <is>
          <t>On Hand</t>
        </is>
      </c>
      <c r="CJ2" s="7" t="inlineStr">
        <is>
          <t>Sold</t>
        </is>
      </c>
      <c r="CK2" s="7" t="inlineStr">
        <is>
          <t>On Hand</t>
        </is>
      </c>
      <c r="CL2" s="7" t="inlineStr">
        <is>
          <t>Sold</t>
        </is>
      </c>
      <c r="CM2" s="7" t="inlineStr">
        <is>
          <t>On Hand</t>
        </is>
      </c>
      <c r="CN2" s="7" t="inlineStr">
        <is>
          <t>Sold</t>
        </is>
      </c>
      <c r="CO2" s="7" t="inlineStr">
        <is>
          <t>On Hand</t>
        </is>
      </c>
      <c r="CP2" s="7" t="inlineStr">
        <is>
          <t>Sold</t>
        </is>
      </c>
      <c r="CQ2" s="6" t="n"/>
      <c r="CR2" s="6" t="n"/>
      <c r="CS2" s="6" t="n"/>
      <c r="CT2" s="6" t="n"/>
      <c r="CU2" s="6" t="n"/>
      <c r="CV2" s="6" t="n"/>
      <c r="CW2" s="6" t="n"/>
      <c r="CX2" s="6" t="n"/>
    </row>
    <row r="3">
      <c r="A3" s="9" t="inlineStr">
        <is>
          <t>4505-845940</t>
        </is>
      </c>
      <c r="B3" s="9" t="inlineStr">
        <is>
          <t>6221009005276</t>
        </is>
      </c>
      <c r="C3" s="10" t="n"/>
      <c r="D3" s="11" t="inlineStr">
        <is>
          <t>Sparkle Shampoo and Conditioner for Normal Hair 600ml</t>
        </is>
      </c>
      <c r="E3" s="10" t="inlineStr">
        <is>
          <t>سباركل شامبو و بلسم للشعر العادى 600 مل</t>
        </is>
      </c>
      <c r="F3" s="9" t="inlineStr">
        <is>
          <t>PC</t>
        </is>
      </c>
      <c r="G3" s="10" t="inlineStr">
        <is>
          <t>SG0040-OTHER PRODUCTS, 
901-837 Wahaj Medical Company, wahag promo 30</t>
        </is>
      </c>
      <c r="H3" s="9" t="inlineStr">
        <is>
          <t>Sales VAT 15%</t>
        </is>
      </c>
      <c r="I3" s="9" t="inlineStr">
        <is>
          <t>PUR Local VAT15%</t>
        </is>
      </c>
      <c r="J3" s="12" t="n">
        <v>10.8</v>
      </c>
      <c r="K3" s="12" t="n">
        <v>15.5</v>
      </c>
      <c r="L3" s="13" t="n">
        <v>0.3032</v>
      </c>
      <c r="M3" s="12" t="n">
        <v>10.85</v>
      </c>
      <c r="N3" s="12" t="n">
        <v>15.5</v>
      </c>
      <c r="O3" s="12" t="n">
        <v>0</v>
      </c>
      <c r="P3" s="13" t="n">
        <v>0.3</v>
      </c>
      <c r="Q3" s="9" t="inlineStr">
        <is>
          <t>نسبة مئوية</t>
        </is>
      </c>
      <c r="R3" s="9" t="inlineStr">
        <is>
          <t>wahag promo 30</t>
        </is>
      </c>
      <c r="S3" s="12">
        <f>IF(AA3&gt;0, AA3, J3)</f>
        <v/>
      </c>
      <c r="T3" s="13">
        <f>IF(K3&gt;0, ((K3/1.15)-S3)/(K3/1.15), 0)</f>
        <v/>
      </c>
      <c r="U3" s="12">
        <f>ROUND((S3/0.80)*1.15, 2)</f>
        <v/>
      </c>
      <c r="V3" s="14" t="n">
        <v>12</v>
      </c>
      <c r="W3" s="14" t="n">
        <v>0</v>
      </c>
      <c r="X3" s="11" t="inlineStr">
        <is>
          <t xml:space="preserve"> [901-837] Wahaj Medical Company</t>
        </is>
      </c>
      <c r="Y3" s="12" t="n">
        <v>10.8</v>
      </c>
      <c r="Z3" s="15" t="n">
        <v>0</v>
      </c>
      <c r="AA3" s="12" t="n">
        <v>10.8</v>
      </c>
      <c r="AB3" s="16" t="n">
        <v>45906</v>
      </c>
      <c r="AC3" s="16" t="n">
        <v>45912</v>
      </c>
      <c r="AD3" s="14" t="n">
        <v>12</v>
      </c>
      <c r="AE3" s="14" t="n">
        <v>0</v>
      </c>
      <c r="AF3" s="14" t="n">
        <v>0</v>
      </c>
      <c r="AG3" s="14" t="n">
        <v>0</v>
      </c>
      <c r="AH3" s="14" t="n">
        <v>0</v>
      </c>
      <c r="AI3" s="14" t="n">
        <v>0</v>
      </c>
      <c r="AJ3" s="14" t="n">
        <v>0</v>
      </c>
      <c r="AK3" s="14" t="n">
        <v>0</v>
      </c>
      <c r="AL3" s="14" t="n">
        <v>0</v>
      </c>
      <c r="AM3" s="14" t="n">
        <v>0</v>
      </c>
      <c r="AN3" s="14" t="n">
        <v>0</v>
      </c>
      <c r="AO3" s="14" t="n">
        <v>0</v>
      </c>
      <c r="AP3" s="14" t="n">
        <v>0</v>
      </c>
      <c r="AQ3" s="14" t="n">
        <v>0</v>
      </c>
      <c r="AR3" s="14" t="n">
        <v>0</v>
      </c>
      <c r="AS3" s="14" t="n">
        <v>0</v>
      </c>
      <c r="AT3" s="14" t="n">
        <v>0</v>
      </c>
      <c r="AU3" s="14" t="n">
        <v>0</v>
      </c>
      <c r="AV3" s="14" t="n">
        <v>0</v>
      </c>
      <c r="AW3" s="14" t="n">
        <v>0</v>
      </c>
      <c r="AX3" s="14" t="n">
        <v>0</v>
      </c>
      <c r="AY3" s="14" t="n">
        <v>0</v>
      </c>
      <c r="AZ3" s="14" t="n">
        <v>0</v>
      </c>
      <c r="BA3" s="14" t="n">
        <v>0</v>
      </c>
      <c r="BB3" s="14" t="n">
        <v>0</v>
      </c>
      <c r="BC3" s="14" t="n">
        <v>0</v>
      </c>
      <c r="BD3" s="14" t="n">
        <v>0</v>
      </c>
      <c r="BE3" s="14" t="n">
        <v>0</v>
      </c>
      <c r="BF3" s="14" t="n">
        <v>0</v>
      </c>
      <c r="BG3" s="14" t="n">
        <v>0</v>
      </c>
      <c r="BH3" s="14" t="n">
        <v>0</v>
      </c>
      <c r="BI3" s="14" t="n">
        <v>0</v>
      </c>
      <c r="BJ3" s="14" t="n">
        <v>0</v>
      </c>
      <c r="BK3" s="14" t="n">
        <v>0</v>
      </c>
      <c r="BL3" s="14" t="n">
        <v>0</v>
      </c>
      <c r="BM3" s="14" t="n">
        <v>0</v>
      </c>
      <c r="BN3" s="14" t="n">
        <v>0</v>
      </c>
      <c r="BO3" s="14" t="n">
        <v>12</v>
      </c>
      <c r="BP3" s="14" t="n">
        <v>0</v>
      </c>
      <c r="BQ3" s="14" t="n">
        <v>0</v>
      </c>
      <c r="BR3" s="14" t="n">
        <v>0</v>
      </c>
      <c r="BS3" s="14" t="n">
        <v>0</v>
      </c>
      <c r="BT3" s="14" t="n">
        <v>0</v>
      </c>
      <c r="BU3" s="14" t="n">
        <v>0</v>
      </c>
      <c r="BV3" s="14" t="n">
        <v>0</v>
      </c>
      <c r="BW3" s="14" t="n">
        <v>0</v>
      </c>
      <c r="BX3" s="14" t="n">
        <v>0</v>
      </c>
      <c r="BY3" s="14" t="n">
        <v>0</v>
      </c>
      <c r="BZ3" s="14" t="n">
        <v>0</v>
      </c>
      <c r="CA3" s="14" t="n">
        <v>0</v>
      </c>
      <c r="CB3" s="14" t="n">
        <v>0</v>
      </c>
      <c r="CC3" s="14" t="n">
        <v>0</v>
      </c>
      <c r="CD3" s="14" t="n">
        <v>0</v>
      </c>
      <c r="CE3" s="14" t="n">
        <v>0</v>
      </c>
      <c r="CF3" s="14" t="n">
        <v>0</v>
      </c>
      <c r="CG3" s="14" t="n">
        <v>0</v>
      </c>
      <c r="CH3" s="14" t="n">
        <v>0</v>
      </c>
      <c r="CI3" s="14" t="n">
        <v>0</v>
      </c>
      <c r="CJ3" s="14" t="n">
        <v>0</v>
      </c>
      <c r="CK3" s="14" t="n">
        <v>0</v>
      </c>
      <c r="CL3" s="14" t="n">
        <v>0</v>
      </c>
      <c r="CM3" s="14" t="n">
        <v>0</v>
      </c>
      <c r="CN3" s="14" t="n">
        <v>0</v>
      </c>
      <c r="CO3" s="14" t="n">
        <v>0</v>
      </c>
      <c r="CP3" s="14" t="n">
        <v>0</v>
      </c>
      <c r="CQ3" s="14" t="n">
        <v>12</v>
      </c>
      <c r="CR3" s="14" t="n">
        <v>0</v>
      </c>
      <c r="CS3" s="14" t="n">
        <v>999</v>
      </c>
      <c r="CT3" s="17" t="inlineStr">
        <is>
          <t>راكد</t>
        </is>
      </c>
      <c r="CU3" s="14" t="n">
        <v>0</v>
      </c>
      <c r="CV3" s="12" t="n">
        <v>0</v>
      </c>
      <c r="CW3" s="18" t="inlineStr">
        <is>
          <t>C</t>
        </is>
      </c>
      <c r="CX3" s="9" t="inlineStr">
        <is>
          <t>─</t>
        </is>
      </c>
    </row>
    <row r="4">
      <c r="A4" s="19" t="inlineStr">
        <is>
          <t>4505-845941</t>
        </is>
      </c>
      <c r="B4" s="19" t="inlineStr">
        <is>
          <t>6221009005382</t>
        </is>
      </c>
      <c r="C4" s="20" t="n"/>
      <c r="D4" s="21" t="inlineStr">
        <is>
          <t>Sparkle Shampoo and Conditioner for Dry Hair 600ml</t>
        </is>
      </c>
      <c r="E4" s="20" t="inlineStr">
        <is>
          <t>سباركل شامبو و بلسم للشعر الجاف 600 مل</t>
        </is>
      </c>
      <c r="F4" s="19" t="inlineStr">
        <is>
          <t>PC</t>
        </is>
      </c>
      <c r="G4" s="20" t="inlineStr">
        <is>
          <t>SG0040-OTHER PRODUCTS, 
901-837 Wahaj Medical Company, wahag promo 30</t>
        </is>
      </c>
      <c r="H4" s="19" t="inlineStr">
        <is>
          <t>Sales VAT 15%</t>
        </is>
      </c>
      <c r="I4" s="19" t="inlineStr">
        <is>
          <t>PUR Local VAT15%</t>
        </is>
      </c>
      <c r="J4" s="22" t="n">
        <v>10.8</v>
      </c>
      <c r="K4" s="22" t="n">
        <v>15.5</v>
      </c>
      <c r="L4" s="23" t="n">
        <v>0.3032</v>
      </c>
      <c r="M4" s="22" t="n">
        <v>10.85</v>
      </c>
      <c r="N4" s="22" t="n">
        <v>15.5</v>
      </c>
      <c r="O4" s="22" t="n">
        <v>0</v>
      </c>
      <c r="P4" s="23" t="n">
        <v>0.3</v>
      </c>
      <c r="Q4" s="19" t="inlineStr">
        <is>
          <t>نسبة مئوية</t>
        </is>
      </c>
      <c r="R4" s="19" t="inlineStr">
        <is>
          <t>wahag promo 30</t>
        </is>
      </c>
      <c r="S4" s="22">
        <f>IF(AA4&gt;0, AA4, J4)</f>
        <v/>
      </c>
      <c r="T4" s="23">
        <f>IF(K4&gt;0, ((K4/1.15)-S4)/(K4/1.15), 0)</f>
        <v/>
      </c>
      <c r="U4" s="22">
        <f>ROUND((S4/0.80)*1.15, 2)</f>
        <v/>
      </c>
      <c r="V4" s="24" t="n">
        <v>12</v>
      </c>
      <c r="W4" s="24" t="n">
        <v>0</v>
      </c>
      <c r="X4" s="21" t="inlineStr">
        <is>
          <t xml:space="preserve"> [901-837] Wahaj Medical Company</t>
        </is>
      </c>
      <c r="Y4" s="22" t="n">
        <v>10.8</v>
      </c>
      <c r="Z4" s="25" t="n">
        <v>0</v>
      </c>
      <c r="AA4" s="22" t="n">
        <v>10.8</v>
      </c>
      <c r="AB4" s="26" t="n">
        <v>45906</v>
      </c>
      <c r="AC4" s="26" t="n">
        <v>45912</v>
      </c>
      <c r="AD4" s="24" t="n">
        <v>12</v>
      </c>
      <c r="AE4" s="24" t="n">
        <v>0</v>
      </c>
      <c r="AF4" s="24" t="n">
        <v>0</v>
      </c>
      <c r="AG4" s="24" t="n">
        <v>0</v>
      </c>
      <c r="AH4" s="24" t="n">
        <v>0</v>
      </c>
      <c r="AI4" s="24" t="n">
        <v>0</v>
      </c>
      <c r="AJ4" s="24" t="n">
        <v>0</v>
      </c>
      <c r="AK4" s="24" t="n">
        <v>0</v>
      </c>
      <c r="AL4" s="24" t="n">
        <v>0</v>
      </c>
      <c r="AM4" s="24" t="n">
        <v>0</v>
      </c>
      <c r="AN4" s="24" t="n">
        <v>0</v>
      </c>
      <c r="AO4" s="24" t="n">
        <v>0</v>
      </c>
      <c r="AP4" s="24" t="n">
        <v>0</v>
      </c>
      <c r="AQ4" s="24" t="n">
        <v>0</v>
      </c>
      <c r="AR4" s="24" t="n">
        <v>0</v>
      </c>
      <c r="AS4" s="24" t="n">
        <v>0</v>
      </c>
      <c r="AT4" s="24" t="n">
        <v>0</v>
      </c>
      <c r="AU4" s="24" t="n">
        <v>0</v>
      </c>
      <c r="AV4" s="24" t="n">
        <v>0</v>
      </c>
      <c r="AW4" s="24" t="n">
        <v>0</v>
      </c>
      <c r="AX4" s="24" t="n">
        <v>0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0</v>
      </c>
      <c r="BO4" s="24" t="n">
        <v>12</v>
      </c>
      <c r="BP4" s="24" t="n">
        <v>0</v>
      </c>
      <c r="BQ4" s="24" t="n">
        <v>0</v>
      </c>
      <c r="BR4" s="24" t="n">
        <v>0</v>
      </c>
      <c r="BS4" s="24" t="n">
        <v>0</v>
      </c>
      <c r="BT4" s="24" t="n">
        <v>0</v>
      </c>
      <c r="BU4" s="24" t="n">
        <v>0</v>
      </c>
      <c r="BV4" s="24" t="n">
        <v>0</v>
      </c>
      <c r="BW4" s="24" t="n">
        <v>0</v>
      </c>
      <c r="BX4" s="24" t="n">
        <v>0</v>
      </c>
      <c r="BY4" s="24" t="n">
        <v>0</v>
      </c>
      <c r="BZ4" s="24" t="n">
        <v>0</v>
      </c>
      <c r="CA4" s="24" t="n">
        <v>0</v>
      </c>
      <c r="CB4" s="24" t="n">
        <v>0</v>
      </c>
      <c r="CC4" s="24" t="n">
        <v>0</v>
      </c>
      <c r="CD4" s="24" t="n">
        <v>0</v>
      </c>
      <c r="CE4" s="24" t="n">
        <v>0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0</v>
      </c>
      <c r="CN4" s="24" t="n">
        <v>0</v>
      </c>
      <c r="CO4" s="24" t="n">
        <v>0</v>
      </c>
      <c r="CP4" s="24" t="n">
        <v>0</v>
      </c>
      <c r="CQ4" s="24" t="n">
        <v>12</v>
      </c>
      <c r="CR4" s="24" t="n">
        <v>0</v>
      </c>
      <c r="CS4" s="24" t="n">
        <v>999</v>
      </c>
      <c r="CT4" s="27" t="inlineStr">
        <is>
          <t>راكد</t>
        </is>
      </c>
      <c r="CU4" s="24" t="n">
        <v>0</v>
      </c>
      <c r="CV4" s="22" t="n">
        <v>0</v>
      </c>
      <c r="CW4" s="28" t="inlineStr">
        <is>
          <t>C</t>
        </is>
      </c>
      <c r="CX4" s="19" t="inlineStr">
        <is>
          <t>─</t>
        </is>
      </c>
    </row>
    <row r="5">
      <c r="A5" s="9" t="inlineStr">
        <is>
          <t>4505-845942</t>
        </is>
      </c>
      <c r="B5" s="9" t="inlineStr">
        <is>
          <t>6221009004514</t>
        </is>
      </c>
      <c r="C5" s="10" t="n"/>
      <c r="D5" s="11" t="inlineStr">
        <is>
          <t>Sparkle Shampoo and Conditioner for Shiny Hair 600ml</t>
        </is>
      </c>
      <c r="E5" s="10" t="inlineStr">
        <is>
          <t>سباركل شامبو و بلسم للشعر لامع 600 مل</t>
        </is>
      </c>
      <c r="F5" s="9" t="inlineStr">
        <is>
          <t>PC</t>
        </is>
      </c>
      <c r="G5" s="10" t="inlineStr">
        <is>
          <t>SG0040-OTHER PRODUCTS, 
901-837 Wahaj Medical Company, wahag promo 30</t>
        </is>
      </c>
      <c r="H5" s="9" t="inlineStr">
        <is>
          <t>Sales VAT 15%</t>
        </is>
      </c>
      <c r="I5" s="9" t="inlineStr">
        <is>
          <t>PUR Local VAT15%</t>
        </is>
      </c>
      <c r="J5" s="12" t="n">
        <v>10.8</v>
      </c>
      <c r="K5" s="12" t="n">
        <v>15.5</v>
      </c>
      <c r="L5" s="13" t="n">
        <v>0.3032</v>
      </c>
      <c r="M5" s="12" t="n">
        <v>10.85</v>
      </c>
      <c r="N5" s="12" t="n">
        <v>15.5</v>
      </c>
      <c r="O5" s="12" t="n">
        <v>0</v>
      </c>
      <c r="P5" s="13" t="n">
        <v>0.3</v>
      </c>
      <c r="Q5" s="9" t="inlineStr">
        <is>
          <t>نسبة مئوية</t>
        </is>
      </c>
      <c r="R5" s="9" t="inlineStr">
        <is>
          <t>wahag promo 30</t>
        </is>
      </c>
      <c r="S5" s="12">
        <f>IF(AA5&gt;0, AA5, J5)</f>
        <v/>
      </c>
      <c r="T5" s="13">
        <f>IF(K5&gt;0, ((K5/1.15)-S5)/(K5/1.15), 0)</f>
        <v/>
      </c>
      <c r="U5" s="12">
        <f>ROUND((S5/0.80)*1.15, 2)</f>
        <v/>
      </c>
      <c r="V5" s="14" t="n">
        <v>12</v>
      </c>
      <c r="W5" s="14" t="n">
        <v>0</v>
      </c>
      <c r="X5" s="11" t="inlineStr">
        <is>
          <t xml:space="preserve"> [901-837] Wahaj Medical Company</t>
        </is>
      </c>
      <c r="Y5" s="12" t="n">
        <v>10.8</v>
      </c>
      <c r="Z5" s="15" t="n">
        <v>0</v>
      </c>
      <c r="AA5" s="12" t="n">
        <v>10.8</v>
      </c>
      <c r="AB5" s="16" t="n">
        <v>45906</v>
      </c>
      <c r="AC5" s="16" t="n">
        <v>45912</v>
      </c>
      <c r="AD5" s="14" t="n">
        <v>12</v>
      </c>
      <c r="AE5" s="14" t="n">
        <v>0</v>
      </c>
      <c r="AF5" s="14" t="n">
        <v>0</v>
      </c>
      <c r="AG5" s="14" t="n">
        <v>0</v>
      </c>
      <c r="AH5" s="14" t="n">
        <v>0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P5" s="14" t="n">
        <v>0</v>
      </c>
      <c r="AQ5" s="14" t="n">
        <v>0</v>
      </c>
      <c r="AR5" s="14" t="n">
        <v>0</v>
      </c>
      <c r="AS5" s="14" t="n">
        <v>0</v>
      </c>
      <c r="AT5" s="14" t="n">
        <v>0</v>
      </c>
      <c r="AU5" s="14" t="n">
        <v>0</v>
      </c>
      <c r="AV5" s="14" t="n">
        <v>0</v>
      </c>
      <c r="AW5" s="14" t="n">
        <v>0</v>
      </c>
      <c r="AX5" s="14" t="n">
        <v>0</v>
      </c>
      <c r="AY5" s="14" t="n">
        <v>0</v>
      </c>
      <c r="AZ5" s="14" t="n">
        <v>0</v>
      </c>
      <c r="BA5" s="14" t="n">
        <v>0</v>
      </c>
      <c r="BB5" s="14" t="n">
        <v>0</v>
      </c>
      <c r="BC5" s="14" t="n">
        <v>0</v>
      </c>
      <c r="BD5" s="14" t="n">
        <v>0</v>
      </c>
      <c r="BE5" s="14" t="n">
        <v>0</v>
      </c>
      <c r="BF5" s="14" t="n">
        <v>0</v>
      </c>
      <c r="BG5" s="14" t="n">
        <v>0</v>
      </c>
      <c r="BH5" s="14" t="n">
        <v>0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0</v>
      </c>
      <c r="BN5" s="14" t="n">
        <v>0</v>
      </c>
      <c r="BO5" s="14" t="n">
        <v>12</v>
      </c>
      <c r="BP5" s="14" t="n">
        <v>0</v>
      </c>
      <c r="BQ5" s="14" t="n">
        <v>0</v>
      </c>
      <c r="BR5" s="14" t="n">
        <v>0</v>
      </c>
      <c r="BS5" s="14" t="n">
        <v>0</v>
      </c>
      <c r="BT5" s="14" t="n">
        <v>0</v>
      </c>
      <c r="BU5" s="14" t="n">
        <v>0</v>
      </c>
      <c r="BV5" s="14" t="n">
        <v>0</v>
      </c>
      <c r="BW5" s="14" t="n">
        <v>0</v>
      </c>
      <c r="BX5" s="14" t="n">
        <v>0</v>
      </c>
      <c r="BY5" s="14" t="n">
        <v>0</v>
      </c>
      <c r="BZ5" s="14" t="n">
        <v>0</v>
      </c>
      <c r="CA5" s="14" t="n">
        <v>0</v>
      </c>
      <c r="CB5" s="14" t="n">
        <v>0</v>
      </c>
      <c r="CC5" s="14" t="n">
        <v>0</v>
      </c>
      <c r="CD5" s="14" t="n">
        <v>0</v>
      </c>
      <c r="CE5" s="14" t="n">
        <v>0</v>
      </c>
      <c r="CF5" s="14" t="n">
        <v>0</v>
      </c>
      <c r="CG5" s="14" t="n">
        <v>0</v>
      </c>
      <c r="CH5" s="14" t="n">
        <v>0</v>
      </c>
      <c r="CI5" s="14" t="n">
        <v>0</v>
      </c>
      <c r="CJ5" s="14" t="n">
        <v>0</v>
      </c>
      <c r="CK5" s="14" t="n">
        <v>0</v>
      </c>
      <c r="CL5" s="14" t="n">
        <v>0</v>
      </c>
      <c r="CM5" s="14" t="n">
        <v>0</v>
      </c>
      <c r="CN5" s="14" t="n">
        <v>0</v>
      </c>
      <c r="CO5" s="14" t="n">
        <v>0</v>
      </c>
      <c r="CP5" s="14" t="n">
        <v>0</v>
      </c>
      <c r="CQ5" s="14" t="n">
        <v>12</v>
      </c>
      <c r="CR5" s="14" t="n">
        <v>0</v>
      </c>
      <c r="CS5" s="14" t="n">
        <v>999</v>
      </c>
      <c r="CT5" s="17" t="inlineStr">
        <is>
          <t>راكد</t>
        </is>
      </c>
      <c r="CU5" s="14" t="n">
        <v>0</v>
      </c>
      <c r="CV5" s="12" t="n">
        <v>0</v>
      </c>
      <c r="CW5" s="18" t="inlineStr">
        <is>
          <t>C</t>
        </is>
      </c>
      <c r="CX5" s="9" t="inlineStr">
        <is>
          <t>─</t>
        </is>
      </c>
    </row>
    <row r="6">
      <c r="A6" s="19" t="inlineStr">
        <is>
          <t>4505-845943</t>
        </is>
      </c>
      <c r="B6" s="19" t="inlineStr">
        <is>
          <t>6221009003906</t>
        </is>
      </c>
      <c r="C6" s="20" t="n"/>
      <c r="D6" s="21" t="inlineStr">
        <is>
          <t>Sparkle Shampoo and Conditioner for Split Hair 600ml</t>
        </is>
      </c>
      <c r="E6" s="20" t="inlineStr">
        <is>
          <t>سباركل شامبو و بلسم للشعر المتقصف 600 مل</t>
        </is>
      </c>
      <c r="F6" s="19" t="inlineStr">
        <is>
          <t>PC</t>
        </is>
      </c>
      <c r="G6" s="20" t="inlineStr">
        <is>
          <t>SG0040-OTHER PRODUCTS, 
901-837 Wahaj Medical Company, wahag promo 30</t>
        </is>
      </c>
      <c r="H6" s="19" t="inlineStr">
        <is>
          <t>Sales VAT 15%</t>
        </is>
      </c>
      <c r="I6" s="19" t="inlineStr">
        <is>
          <t>PUR Local VAT15%</t>
        </is>
      </c>
      <c r="J6" s="22" t="n">
        <v>10.8</v>
      </c>
      <c r="K6" s="22" t="n">
        <v>15.5</v>
      </c>
      <c r="L6" s="23" t="n">
        <v>0.3032</v>
      </c>
      <c r="M6" s="22" t="n">
        <v>10.85</v>
      </c>
      <c r="N6" s="22" t="n">
        <v>15.5</v>
      </c>
      <c r="O6" s="22" t="n">
        <v>0</v>
      </c>
      <c r="P6" s="23" t="n">
        <v>0.3</v>
      </c>
      <c r="Q6" s="19" t="inlineStr">
        <is>
          <t>نسبة مئوية</t>
        </is>
      </c>
      <c r="R6" s="19" t="inlineStr">
        <is>
          <t>wahag promo 30</t>
        </is>
      </c>
      <c r="S6" s="22">
        <f>IF(AA6&gt;0, AA6, J6)</f>
        <v/>
      </c>
      <c r="T6" s="23">
        <f>IF(K6&gt;0, ((K6/1.15)-S6)/(K6/1.15), 0)</f>
        <v/>
      </c>
      <c r="U6" s="22">
        <f>ROUND((S6/0.80)*1.15, 2)</f>
        <v/>
      </c>
      <c r="V6" s="24" t="n">
        <v>12</v>
      </c>
      <c r="W6" s="24" t="n">
        <v>0</v>
      </c>
      <c r="X6" s="21" t="inlineStr">
        <is>
          <t xml:space="preserve"> [901-837] Wahaj Medical Company</t>
        </is>
      </c>
      <c r="Y6" s="22" t="n">
        <v>10.8</v>
      </c>
      <c r="Z6" s="25" t="n">
        <v>0</v>
      </c>
      <c r="AA6" s="22" t="n">
        <v>10.8</v>
      </c>
      <c r="AB6" s="26" t="n">
        <v>45906</v>
      </c>
      <c r="AC6" s="26" t="n">
        <v>45912</v>
      </c>
      <c r="AD6" s="24" t="n">
        <v>12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24" t="n">
        <v>0</v>
      </c>
      <c r="AP6" s="24" t="n">
        <v>0</v>
      </c>
      <c r="AQ6" s="24" t="n">
        <v>0</v>
      </c>
      <c r="AR6" s="24" t="n">
        <v>0</v>
      </c>
      <c r="AS6" s="24" t="n">
        <v>0</v>
      </c>
      <c r="AT6" s="24" t="n">
        <v>0</v>
      </c>
      <c r="AU6" s="24" t="n">
        <v>0</v>
      </c>
      <c r="AV6" s="24" t="n">
        <v>0</v>
      </c>
      <c r="AW6" s="24" t="n">
        <v>0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0</v>
      </c>
      <c r="BO6" s="24" t="n">
        <v>12</v>
      </c>
      <c r="BP6" s="24" t="n">
        <v>0</v>
      </c>
      <c r="BQ6" s="24" t="n">
        <v>0</v>
      </c>
      <c r="BR6" s="24" t="n">
        <v>0</v>
      </c>
      <c r="BS6" s="24" t="n">
        <v>0</v>
      </c>
      <c r="BT6" s="24" t="n">
        <v>0</v>
      </c>
      <c r="BU6" s="24" t="n">
        <v>0</v>
      </c>
      <c r="BV6" s="24" t="n">
        <v>0</v>
      </c>
      <c r="BW6" s="24" t="n">
        <v>0</v>
      </c>
      <c r="BX6" s="24" t="n">
        <v>0</v>
      </c>
      <c r="BY6" s="24" t="n">
        <v>0</v>
      </c>
      <c r="BZ6" s="24" t="n">
        <v>0</v>
      </c>
      <c r="CA6" s="24" t="n">
        <v>0</v>
      </c>
      <c r="CB6" s="24" t="n">
        <v>0</v>
      </c>
      <c r="CC6" s="24" t="n">
        <v>0</v>
      </c>
      <c r="CD6" s="24" t="n">
        <v>0</v>
      </c>
      <c r="CE6" s="24" t="n">
        <v>0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0</v>
      </c>
      <c r="CN6" s="24" t="n">
        <v>0</v>
      </c>
      <c r="CO6" s="24" t="n">
        <v>0</v>
      </c>
      <c r="CP6" s="24" t="n">
        <v>0</v>
      </c>
      <c r="CQ6" s="24" t="n">
        <v>12</v>
      </c>
      <c r="CR6" s="24" t="n">
        <v>0</v>
      </c>
      <c r="CS6" s="24" t="n">
        <v>999</v>
      </c>
      <c r="CT6" s="27" t="inlineStr">
        <is>
          <t>راكد</t>
        </is>
      </c>
      <c r="CU6" s="24" t="n">
        <v>0</v>
      </c>
      <c r="CV6" s="22" t="n">
        <v>0</v>
      </c>
      <c r="CW6" s="28" t="inlineStr">
        <is>
          <t>C</t>
        </is>
      </c>
      <c r="CX6" s="19" t="inlineStr">
        <is>
          <t>─</t>
        </is>
      </c>
    </row>
    <row r="7">
      <c r="A7" s="9" t="inlineStr">
        <is>
          <t>4505-845944</t>
        </is>
      </c>
      <c r="B7" s="9" t="inlineStr">
        <is>
          <t>6221009007416</t>
        </is>
      </c>
      <c r="C7" s="10" t="n"/>
      <c r="D7" s="11" t="inlineStr">
        <is>
          <t>Sparkle Shampoo and Conditioner with Caffeine Reduces Hair Loss 600ml</t>
        </is>
      </c>
      <c r="E7" s="10" t="inlineStr">
        <is>
          <t>سباركل شامبو و بلسم بالكافين يقلل التساقط 600 مل</t>
        </is>
      </c>
      <c r="F7" s="9" t="inlineStr">
        <is>
          <t>PC</t>
        </is>
      </c>
      <c r="G7" s="10" t="inlineStr">
        <is>
          <t>SG0040-OTHER PRODUCTS, 
901-837 Wahaj Medical Company, wahag promo 30</t>
        </is>
      </c>
      <c r="H7" s="9" t="inlineStr">
        <is>
          <t>Sales VAT 15%</t>
        </is>
      </c>
      <c r="I7" s="9" t="inlineStr">
        <is>
          <t>PUR Local VAT15%</t>
        </is>
      </c>
      <c r="J7" s="12" t="n">
        <v>10.8</v>
      </c>
      <c r="K7" s="12" t="n">
        <v>15.5</v>
      </c>
      <c r="L7" s="13" t="n">
        <v>0.3032</v>
      </c>
      <c r="M7" s="12" t="n">
        <v>10.85</v>
      </c>
      <c r="N7" s="12" t="n">
        <v>15.5</v>
      </c>
      <c r="O7" s="12" t="n">
        <v>0</v>
      </c>
      <c r="P7" s="13" t="n">
        <v>0.3</v>
      </c>
      <c r="Q7" s="9" t="inlineStr">
        <is>
          <t>نسبة مئوية</t>
        </is>
      </c>
      <c r="R7" s="9" t="inlineStr">
        <is>
          <t>wahag promo 30</t>
        </is>
      </c>
      <c r="S7" s="12">
        <f>IF(AA7&gt;0, AA7, J7)</f>
        <v/>
      </c>
      <c r="T7" s="13">
        <f>IF(K7&gt;0, ((K7/1.15)-S7)/(K7/1.15), 0)</f>
        <v/>
      </c>
      <c r="U7" s="12">
        <f>ROUND((S7/0.80)*1.15, 2)</f>
        <v/>
      </c>
      <c r="V7" s="14" t="n">
        <v>11</v>
      </c>
      <c r="W7" s="14" t="n">
        <v>1</v>
      </c>
      <c r="X7" s="11" t="inlineStr">
        <is>
          <t xml:space="preserve"> [901-837] Wahaj Medical Company</t>
        </is>
      </c>
      <c r="Y7" s="12" t="n">
        <v>10.8</v>
      </c>
      <c r="Z7" s="15" t="n">
        <v>0</v>
      </c>
      <c r="AA7" s="12" t="n">
        <v>10.8</v>
      </c>
      <c r="AB7" s="16" t="n">
        <v>45906</v>
      </c>
      <c r="AC7" s="16" t="n">
        <v>45912</v>
      </c>
      <c r="AD7" s="14" t="n">
        <v>12</v>
      </c>
      <c r="AE7" s="14" t="n">
        <v>0</v>
      </c>
      <c r="AF7" s="14" t="n">
        <v>0</v>
      </c>
      <c r="AG7" s="14" t="n">
        <v>0</v>
      </c>
      <c r="AH7" s="14" t="n">
        <v>0</v>
      </c>
      <c r="AI7" s="14" t="n">
        <v>0</v>
      </c>
      <c r="AJ7" s="14" t="n">
        <v>0</v>
      </c>
      <c r="AK7" s="14" t="n">
        <v>0</v>
      </c>
      <c r="AL7" s="14" t="n">
        <v>0</v>
      </c>
      <c r="AM7" s="14" t="n">
        <v>0</v>
      </c>
      <c r="AN7" s="14" t="n">
        <v>0</v>
      </c>
      <c r="AO7" s="14" t="n">
        <v>0</v>
      </c>
      <c r="AP7" s="14" t="n">
        <v>0</v>
      </c>
      <c r="AQ7" s="14" t="n">
        <v>0</v>
      </c>
      <c r="AR7" s="14" t="n">
        <v>0</v>
      </c>
      <c r="AS7" s="14" t="n">
        <v>0</v>
      </c>
      <c r="AT7" s="14" t="n">
        <v>0</v>
      </c>
      <c r="AU7" s="14" t="n">
        <v>0</v>
      </c>
      <c r="AV7" s="14" t="n">
        <v>0</v>
      </c>
      <c r="AW7" s="14" t="n">
        <v>0</v>
      </c>
      <c r="AX7" s="14" t="n">
        <v>0</v>
      </c>
      <c r="AY7" s="14" t="n">
        <v>0</v>
      </c>
      <c r="AZ7" s="14" t="n">
        <v>0</v>
      </c>
      <c r="BA7" s="14" t="n">
        <v>0</v>
      </c>
      <c r="BB7" s="14" t="n">
        <v>0</v>
      </c>
      <c r="BC7" s="14" t="n">
        <v>0</v>
      </c>
      <c r="BD7" s="14" t="n">
        <v>0</v>
      </c>
      <c r="BE7" s="14" t="n">
        <v>0</v>
      </c>
      <c r="BF7" s="14" t="n">
        <v>0</v>
      </c>
      <c r="BG7" s="14" t="n">
        <v>0</v>
      </c>
      <c r="BH7" s="14" t="n">
        <v>0</v>
      </c>
      <c r="BI7" s="14" t="n">
        <v>0</v>
      </c>
      <c r="BJ7" s="14" t="n">
        <v>0</v>
      </c>
      <c r="BK7" s="14" t="n">
        <v>0</v>
      </c>
      <c r="BL7" s="14" t="n">
        <v>0</v>
      </c>
      <c r="BM7" s="14" t="n">
        <v>0</v>
      </c>
      <c r="BN7" s="14" t="n">
        <v>0</v>
      </c>
      <c r="BO7" s="14" t="n">
        <v>11</v>
      </c>
      <c r="BP7" s="14" t="n">
        <v>1</v>
      </c>
      <c r="BQ7" s="14" t="n">
        <v>0</v>
      </c>
      <c r="BR7" s="14" t="n">
        <v>0</v>
      </c>
      <c r="BS7" s="14" t="n">
        <v>0</v>
      </c>
      <c r="BT7" s="14" t="n">
        <v>0</v>
      </c>
      <c r="BU7" s="14" t="n">
        <v>0</v>
      </c>
      <c r="BV7" s="14" t="n">
        <v>0</v>
      </c>
      <c r="BW7" s="14" t="n">
        <v>0</v>
      </c>
      <c r="BX7" s="14" t="n">
        <v>0</v>
      </c>
      <c r="BY7" s="14" t="n">
        <v>0</v>
      </c>
      <c r="BZ7" s="14" t="n">
        <v>0</v>
      </c>
      <c r="CA7" s="14" t="n">
        <v>0</v>
      </c>
      <c r="CB7" s="14" t="n">
        <v>0</v>
      </c>
      <c r="CC7" s="14" t="n">
        <v>0</v>
      </c>
      <c r="CD7" s="14" t="n">
        <v>0</v>
      </c>
      <c r="CE7" s="14" t="n">
        <v>0</v>
      </c>
      <c r="CF7" s="14" t="n">
        <v>0</v>
      </c>
      <c r="CG7" s="14" t="n">
        <v>0</v>
      </c>
      <c r="CH7" s="14" t="n">
        <v>0</v>
      </c>
      <c r="CI7" s="14" t="n">
        <v>0</v>
      </c>
      <c r="CJ7" s="14" t="n">
        <v>0</v>
      </c>
      <c r="CK7" s="14" t="n">
        <v>0</v>
      </c>
      <c r="CL7" s="14" t="n">
        <v>0</v>
      </c>
      <c r="CM7" s="14" t="n">
        <v>0</v>
      </c>
      <c r="CN7" s="14" t="n">
        <v>0</v>
      </c>
      <c r="CO7" s="14" t="n">
        <v>0</v>
      </c>
      <c r="CP7" s="14" t="n">
        <v>0</v>
      </c>
      <c r="CQ7" s="14" t="n">
        <v>11</v>
      </c>
      <c r="CR7" s="14" t="n">
        <v>1</v>
      </c>
      <c r="CS7" s="14" t="n">
        <v>4015</v>
      </c>
      <c r="CT7" s="29" t="inlineStr">
        <is>
          <t>فائض المخزون</t>
        </is>
      </c>
      <c r="CU7" s="14" t="n">
        <v>0</v>
      </c>
      <c r="CV7" s="12" t="n">
        <v>0</v>
      </c>
      <c r="CW7" s="18" t="inlineStr">
        <is>
          <t>C</t>
        </is>
      </c>
      <c r="CX7" s="9" t="inlineStr">
        <is>
          <t>─</t>
        </is>
      </c>
    </row>
    <row r="8">
      <c r="A8" s="19" t="inlineStr">
        <is>
          <t>4505-845945</t>
        </is>
      </c>
      <c r="B8" s="19" t="inlineStr">
        <is>
          <t>6221009000233</t>
        </is>
      </c>
      <c r="C8" s="20" t="n"/>
      <c r="D8" s="21" t="inlineStr">
        <is>
          <t>Sparkle Shampoo and Conditioner for Normal Hair 350ml</t>
        </is>
      </c>
      <c r="E8" s="20" t="inlineStr">
        <is>
          <t>سباركل شامبو و بلسم للشعر العادى 350 مل</t>
        </is>
      </c>
      <c r="F8" s="19" t="inlineStr">
        <is>
          <t>PC</t>
        </is>
      </c>
      <c r="G8" s="20" t="inlineStr">
        <is>
          <t>SG0040-OTHER PRODUCTS, 
901-837 Wahaj Medical Company, wahag promo 30</t>
        </is>
      </c>
      <c r="H8" s="19" t="inlineStr">
        <is>
          <t>Sales VAT 15%</t>
        </is>
      </c>
      <c r="I8" s="19" t="inlineStr">
        <is>
          <t>PUR Local VAT15%</t>
        </is>
      </c>
      <c r="J8" s="22" t="n">
        <v>7.2</v>
      </c>
      <c r="K8" s="22" t="n">
        <v>10.25</v>
      </c>
      <c r="L8" s="23" t="n">
        <v>0.2976</v>
      </c>
      <c r="M8" s="22" t="n">
        <v>7.17</v>
      </c>
      <c r="N8" s="22" t="n">
        <v>10.25</v>
      </c>
      <c r="O8" s="22" t="n">
        <v>0</v>
      </c>
      <c r="P8" s="23" t="n">
        <v>0.3</v>
      </c>
      <c r="Q8" s="19" t="inlineStr">
        <is>
          <t>نسبة مئوية</t>
        </is>
      </c>
      <c r="R8" s="19" t="inlineStr">
        <is>
          <t>wahag promo 30</t>
        </is>
      </c>
      <c r="S8" s="22">
        <f>IF(AA8&gt;0, AA8, J8)</f>
        <v/>
      </c>
      <c r="T8" s="23">
        <f>IF(K8&gt;0, ((K8/1.15)-S8)/(K8/1.15), 0)</f>
        <v/>
      </c>
      <c r="U8" s="22">
        <f>ROUND((S8/0.80)*1.15, 2)</f>
        <v/>
      </c>
      <c r="V8" s="24" t="n">
        <v>12</v>
      </c>
      <c r="W8" s="24" t="n">
        <v>0</v>
      </c>
      <c r="X8" s="21" t="inlineStr">
        <is>
          <t xml:space="preserve"> [901-837] Wahaj Medical Company</t>
        </is>
      </c>
      <c r="Y8" s="22" t="n">
        <v>7.2</v>
      </c>
      <c r="Z8" s="25" t="n">
        <v>0</v>
      </c>
      <c r="AA8" s="22" t="n">
        <v>7.2</v>
      </c>
      <c r="AB8" s="26" t="n">
        <v>45906</v>
      </c>
      <c r="AC8" s="26" t="n">
        <v>45912</v>
      </c>
      <c r="AD8" s="24" t="n">
        <v>12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12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0</v>
      </c>
      <c r="BV8" s="24" t="n">
        <v>0</v>
      </c>
      <c r="BW8" s="24" t="n">
        <v>0</v>
      </c>
      <c r="BX8" s="24" t="n">
        <v>0</v>
      </c>
      <c r="BY8" s="24" t="n">
        <v>0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0</v>
      </c>
      <c r="CO8" s="24" t="n">
        <v>0</v>
      </c>
      <c r="CP8" s="24" t="n">
        <v>0</v>
      </c>
      <c r="CQ8" s="24" t="n">
        <v>12</v>
      </c>
      <c r="CR8" s="24" t="n">
        <v>0</v>
      </c>
      <c r="CS8" s="24" t="n">
        <v>999</v>
      </c>
      <c r="CT8" s="27" t="inlineStr">
        <is>
          <t>راكد</t>
        </is>
      </c>
      <c r="CU8" s="24" t="n">
        <v>0</v>
      </c>
      <c r="CV8" s="22" t="n">
        <v>0</v>
      </c>
      <c r="CW8" s="28" t="inlineStr">
        <is>
          <t>C</t>
        </is>
      </c>
      <c r="CX8" s="19" t="inlineStr">
        <is>
          <t>─</t>
        </is>
      </c>
    </row>
    <row r="9">
      <c r="A9" s="9" t="inlineStr">
        <is>
          <t>4505-845946</t>
        </is>
      </c>
      <c r="B9" s="9" t="inlineStr">
        <is>
          <t>6221009000240</t>
        </is>
      </c>
      <c r="C9" s="10" t="n"/>
      <c r="D9" s="11" t="inlineStr">
        <is>
          <t>Sparkle Shampoo and Conditioner for Dry Hair 350ml</t>
        </is>
      </c>
      <c r="E9" s="10" t="inlineStr">
        <is>
          <t>سباركل شامبو و بلسم للشعر الجاف 350 مل</t>
        </is>
      </c>
      <c r="F9" s="9" t="inlineStr">
        <is>
          <t>PC</t>
        </is>
      </c>
      <c r="G9" s="10" t="inlineStr">
        <is>
          <t>SG0040-OTHER PRODUCTS, 
901-837 Wahaj Medical Company, wahag promo 30</t>
        </is>
      </c>
      <c r="H9" s="9" t="inlineStr">
        <is>
          <t>Sales VAT 15%</t>
        </is>
      </c>
      <c r="I9" s="9" t="inlineStr">
        <is>
          <t>PUR Local VAT15%</t>
        </is>
      </c>
      <c r="J9" s="12" t="n">
        <v>7.2</v>
      </c>
      <c r="K9" s="12" t="n">
        <v>10.25</v>
      </c>
      <c r="L9" s="13" t="n">
        <v>0.2976</v>
      </c>
      <c r="M9" s="12" t="n">
        <v>7.17</v>
      </c>
      <c r="N9" s="12" t="n">
        <v>10.25</v>
      </c>
      <c r="O9" s="12" t="n">
        <v>0</v>
      </c>
      <c r="P9" s="13" t="n">
        <v>0.3</v>
      </c>
      <c r="Q9" s="9" t="inlineStr">
        <is>
          <t>نسبة مئوية</t>
        </is>
      </c>
      <c r="R9" s="9" t="inlineStr">
        <is>
          <t>wahag promo 30</t>
        </is>
      </c>
      <c r="S9" s="12">
        <f>IF(AA9&gt;0, AA9, J9)</f>
        <v/>
      </c>
      <c r="T9" s="13">
        <f>IF(K9&gt;0, ((K9/1.15)-S9)/(K9/1.15), 0)</f>
        <v/>
      </c>
      <c r="U9" s="12">
        <f>ROUND((S9/0.80)*1.15, 2)</f>
        <v/>
      </c>
      <c r="V9" s="14" t="n">
        <v>12</v>
      </c>
      <c r="W9" s="14" t="n">
        <v>0</v>
      </c>
      <c r="X9" s="11" t="inlineStr">
        <is>
          <t xml:space="preserve"> [901-837] Wahaj Medical Company</t>
        </is>
      </c>
      <c r="Y9" s="12" t="n">
        <v>7.2</v>
      </c>
      <c r="Z9" s="15" t="n">
        <v>0</v>
      </c>
      <c r="AA9" s="12" t="n">
        <v>7.2</v>
      </c>
      <c r="AB9" s="16" t="n">
        <v>45906</v>
      </c>
      <c r="AC9" s="16" t="n">
        <v>45912</v>
      </c>
      <c r="AD9" s="14" t="n">
        <v>12</v>
      </c>
      <c r="AE9" s="14" t="n">
        <v>0</v>
      </c>
      <c r="AF9" s="14" t="n">
        <v>0</v>
      </c>
      <c r="AG9" s="14" t="n">
        <v>0</v>
      </c>
      <c r="AH9" s="14" t="n">
        <v>0</v>
      </c>
      <c r="AI9" s="14" t="n">
        <v>0</v>
      </c>
      <c r="AJ9" s="14" t="n">
        <v>0</v>
      </c>
      <c r="AK9" s="14" t="n">
        <v>0</v>
      </c>
      <c r="AL9" s="14" t="n">
        <v>0</v>
      </c>
      <c r="AM9" s="14" t="n">
        <v>0</v>
      </c>
      <c r="AN9" s="14" t="n">
        <v>0</v>
      </c>
      <c r="AO9" s="14" t="n">
        <v>0</v>
      </c>
      <c r="AP9" s="14" t="n">
        <v>0</v>
      </c>
      <c r="AQ9" s="14" t="n">
        <v>0</v>
      </c>
      <c r="AR9" s="14" t="n">
        <v>0</v>
      </c>
      <c r="AS9" s="14" t="n">
        <v>0</v>
      </c>
      <c r="AT9" s="14" t="n">
        <v>0</v>
      </c>
      <c r="AU9" s="14" t="n">
        <v>0</v>
      </c>
      <c r="AV9" s="14" t="n">
        <v>0</v>
      </c>
      <c r="AW9" s="14" t="n">
        <v>0</v>
      </c>
      <c r="AX9" s="14" t="n">
        <v>0</v>
      </c>
      <c r="AY9" s="14" t="n">
        <v>0</v>
      </c>
      <c r="AZ9" s="14" t="n">
        <v>0</v>
      </c>
      <c r="BA9" s="14" t="n">
        <v>0</v>
      </c>
      <c r="BB9" s="14" t="n">
        <v>0</v>
      </c>
      <c r="BC9" s="14" t="n">
        <v>0</v>
      </c>
      <c r="BD9" s="14" t="n">
        <v>0</v>
      </c>
      <c r="BE9" s="14" t="n">
        <v>0</v>
      </c>
      <c r="BF9" s="14" t="n">
        <v>0</v>
      </c>
      <c r="BG9" s="14" t="n">
        <v>0</v>
      </c>
      <c r="BH9" s="14" t="n">
        <v>0</v>
      </c>
      <c r="BI9" s="14" t="n">
        <v>0</v>
      </c>
      <c r="BJ9" s="14" t="n">
        <v>0</v>
      </c>
      <c r="BK9" s="14" t="n">
        <v>0</v>
      </c>
      <c r="BL9" s="14" t="n">
        <v>0</v>
      </c>
      <c r="BM9" s="14" t="n">
        <v>0</v>
      </c>
      <c r="BN9" s="14" t="n">
        <v>0</v>
      </c>
      <c r="BO9" s="14" t="n">
        <v>12</v>
      </c>
      <c r="BP9" s="14" t="n">
        <v>0</v>
      </c>
      <c r="BQ9" s="14" t="n">
        <v>0</v>
      </c>
      <c r="BR9" s="14" t="n">
        <v>0</v>
      </c>
      <c r="BS9" s="14" t="n">
        <v>0</v>
      </c>
      <c r="BT9" s="14" t="n">
        <v>0</v>
      </c>
      <c r="BU9" s="14" t="n">
        <v>0</v>
      </c>
      <c r="BV9" s="14" t="n">
        <v>0</v>
      </c>
      <c r="BW9" s="14" t="n">
        <v>0</v>
      </c>
      <c r="BX9" s="14" t="n">
        <v>0</v>
      </c>
      <c r="BY9" s="14" t="n">
        <v>0</v>
      </c>
      <c r="BZ9" s="14" t="n">
        <v>0</v>
      </c>
      <c r="CA9" s="14" t="n">
        <v>0</v>
      </c>
      <c r="CB9" s="14" t="n">
        <v>0</v>
      </c>
      <c r="CC9" s="14" t="n">
        <v>0</v>
      </c>
      <c r="CD9" s="14" t="n">
        <v>0</v>
      </c>
      <c r="CE9" s="14" t="n">
        <v>0</v>
      </c>
      <c r="CF9" s="14" t="n">
        <v>0</v>
      </c>
      <c r="CG9" s="14" t="n">
        <v>0</v>
      </c>
      <c r="CH9" s="14" t="n">
        <v>0</v>
      </c>
      <c r="CI9" s="14" t="n">
        <v>0</v>
      </c>
      <c r="CJ9" s="14" t="n">
        <v>0</v>
      </c>
      <c r="CK9" s="14" t="n">
        <v>0</v>
      </c>
      <c r="CL9" s="14" t="n">
        <v>0</v>
      </c>
      <c r="CM9" s="14" t="n">
        <v>0</v>
      </c>
      <c r="CN9" s="14" t="n">
        <v>0</v>
      </c>
      <c r="CO9" s="14" t="n">
        <v>0</v>
      </c>
      <c r="CP9" s="14" t="n">
        <v>0</v>
      </c>
      <c r="CQ9" s="14" t="n">
        <v>12</v>
      </c>
      <c r="CR9" s="14" t="n">
        <v>0</v>
      </c>
      <c r="CS9" s="14" t="n">
        <v>999</v>
      </c>
      <c r="CT9" s="17" t="inlineStr">
        <is>
          <t>راكد</t>
        </is>
      </c>
      <c r="CU9" s="14" t="n">
        <v>0</v>
      </c>
      <c r="CV9" s="12" t="n">
        <v>0</v>
      </c>
      <c r="CW9" s="18" t="inlineStr">
        <is>
          <t>C</t>
        </is>
      </c>
      <c r="CX9" s="9" t="inlineStr">
        <is>
          <t>─</t>
        </is>
      </c>
    </row>
    <row r="10">
      <c r="A10" s="19" t="inlineStr">
        <is>
          <t>4505-845947</t>
        </is>
      </c>
      <c r="B10" s="19" t="inlineStr">
        <is>
          <t>6221009002572</t>
        </is>
      </c>
      <c r="C10" s="20" t="n"/>
      <c r="D10" s="21" t="inlineStr">
        <is>
          <t>Sparkle Caffeine Shampoo and Conditioner for Hair Loss Reduction 350ml</t>
        </is>
      </c>
      <c r="E10" s="20" t="inlineStr">
        <is>
          <t>سباركل شامبو و بلسم للشعر بالكافين يقلل التساقط 350 مل</t>
        </is>
      </c>
      <c r="F10" s="19" t="inlineStr">
        <is>
          <t>PC</t>
        </is>
      </c>
      <c r="G10" s="20" t="inlineStr">
        <is>
          <t>SG0040-OTHER PRODUCTS, 
901-837 Wahaj Medical Company, wahag promo 30</t>
        </is>
      </c>
      <c r="H10" s="19" t="inlineStr">
        <is>
          <t>Sales VAT 15%</t>
        </is>
      </c>
      <c r="I10" s="19" t="inlineStr">
        <is>
          <t>PUR Local VAT15%</t>
        </is>
      </c>
      <c r="J10" s="22" t="n">
        <v>7.2</v>
      </c>
      <c r="K10" s="22" t="n">
        <v>10.25</v>
      </c>
      <c r="L10" s="23" t="n">
        <v>0.2976</v>
      </c>
      <c r="M10" s="22" t="n">
        <v>7.17</v>
      </c>
      <c r="N10" s="22" t="n">
        <v>10.25</v>
      </c>
      <c r="O10" s="22" t="n">
        <v>0</v>
      </c>
      <c r="P10" s="23" t="n">
        <v>0.3</v>
      </c>
      <c r="Q10" s="19" t="inlineStr">
        <is>
          <t>نسبة مئوية</t>
        </is>
      </c>
      <c r="R10" s="19" t="inlineStr">
        <is>
          <t>wahag promo 30</t>
        </is>
      </c>
      <c r="S10" s="22">
        <f>IF(AA10&gt;0, AA10, J10)</f>
        <v/>
      </c>
      <c r="T10" s="23">
        <f>IF(K10&gt;0, ((K10/1.15)-S10)/(K10/1.15), 0)</f>
        <v/>
      </c>
      <c r="U10" s="22">
        <f>ROUND((S10/0.80)*1.15, 2)</f>
        <v/>
      </c>
      <c r="V10" s="24" t="n">
        <v>11</v>
      </c>
      <c r="W10" s="24" t="n">
        <v>1</v>
      </c>
      <c r="X10" s="21" t="inlineStr">
        <is>
          <t xml:space="preserve"> [901-837] Wahaj Medical Company</t>
        </is>
      </c>
      <c r="Y10" s="22" t="n">
        <v>7.2</v>
      </c>
      <c r="Z10" s="25" t="n">
        <v>0</v>
      </c>
      <c r="AA10" s="22" t="n">
        <v>7.2</v>
      </c>
      <c r="AB10" s="26" t="n">
        <v>45906</v>
      </c>
      <c r="AC10" s="26" t="n">
        <v>45912</v>
      </c>
      <c r="AD10" s="24" t="n">
        <v>12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24" t="n">
        <v>0</v>
      </c>
      <c r="AP10" s="24" t="n">
        <v>0</v>
      </c>
      <c r="AQ10" s="24" t="n">
        <v>0</v>
      </c>
      <c r="AR10" s="24" t="n">
        <v>0</v>
      </c>
      <c r="AS10" s="24" t="n">
        <v>0</v>
      </c>
      <c r="AT10" s="24" t="n">
        <v>0</v>
      </c>
      <c r="AU10" s="24" t="n">
        <v>0</v>
      </c>
      <c r="AV10" s="24" t="n">
        <v>0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0</v>
      </c>
      <c r="BO10" s="24" t="n">
        <v>11</v>
      </c>
      <c r="BP10" s="24" t="n">
        <v>1</v>
      </c>
      <c r="BQ10" s="24" t="n">
        <v>0</v>
      </c>
      <c r="BR10" s="24" t="n">
        <v>0</v>
      </c>
      <c r="BS10" s="24" t="n">
        <v>0</v>
      </c>
      <c r="BT10" s="24" t="n">
        <v>0</v>
      </c>
      <c r="BU10" s="24" t="n">
        <v>0</v>
      </c>
      <c r="BV10" s="24" t="n">
        <v>0</v>
      </c>
      <c r="BW10" s="24" t="n">
        <v>0</v>
      </c>
      <c r="BX10" s="24" t="n">
        <v>0</v>
      </c>
      <c r="BY10" s="24" t="n">
        <v>0</v>
      </c>
      <c r="BZ10" s="24" t="n">
        <v>0</v>
      </c>
      <c r="CA10" s="24" t="n">
        <v>0</v>
      </c>
      <c r="CB10" s="24" t="n">
        <v>0</v>
      </c>
      <c r="CC10" s="24" t="n">
        <v>0</v>
      </c>
      <c r="CD10" s="24" t="n">
        <v>0</v>
      </c>
      <c r="CE10" s="24" t="n">
        <v>0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0</v>
      </c>
      <c r="CN10" s="24" t="n">
        <v>0</v>
      </c>
      <c r="CO10" s="24" t="n">
        <v>0</v>
      </c>
      <c r="CP10" s="24" t="n">
        <v>0</v>
      </c>
      <c r="CQ10" s="24" t="n">
        <v>11</v>
      </c>
      <c r="CR10" s="24" t="n">
        <v>1</v>
      </c>
      <c r="CS10" s="24" t="n">
        <v>4015</v>
      </c>
      <c r="CT10" s="30" t="inlineStr">
        <is>
          <t>فائض المخزون</t>
        </is>
      </c>
      <c r="CU10" s="24" t="n">
        <v>0</v>
      </c>
      <c r="CV10" s="22" t="n">
        <v>0</v>
      </c>
      <c r="CW10" s="28" t="inlineStr">
        <is>
          <t>C</t>
        </is>
      </c>
      <c r="CX10" s="19" t="inlineStr">
        <is>
          <t>─</t>
        </is>
      </c>
    </row>
    <row r="11">
      <c r="A11" s="9" t="inlineStr">
        <is>
          <t>4505-845948</t>
        </is>
      </c>
      <c r="B11" s="9" t="inlineStr">
        <is>
          <t>6221009000257</t>
        </is>
      </c>
      <c r="C11" s="10" t="n"/>
      <c r="D11" s="11" t="inlineStr">
        <is>
          <t>Sparkle Shampoo and Conditioner for Shiny Hair 350ml</t>
        </is>
      </c>
      <c r="E11" s="10" t="inlineStr">
        <is>
          <t>سباركل شامبو و بلسم للشعر لامع 350 مل</t>
        </is>
      </c>
      <c r="F11" s="9" t="inlineStr">
        <is>
          <t>PC</t>
        </is>
      </c>
      <c r="G11" s="10" t="inlineStr">
        <is>
          <t>SG0040-OTHER PRODUCTS, 
901-837 Wahaj Medical Company, wahag promo 30</t>
        </is>
      </c>
      <c r="H11" s="9" t="inlineStr">
        <is>
          <t>Sales VAT 15%</t>
        </is>
      </c>
      <c r="I11" s="9" t="inlineStr">
        <is>
          <t>PUR Local VAT15%</t>
        </is>
      </c>
      <c r="J11" s="12" t="n">
        <v>7.2</v>
      </c>
      <c r="K11" s="12" t="n">
        <v>10.25</v>
      </c>
      <c r="L11" s="13" t="n">
        <v>0.2976</v>
      </c>
      <c r="M11" s="12" t="n">
        <v>7.17</v>
      </c>
      <c r="N11" s="12" t="n">
        <v>10.25</v>
      </c>
      <c r="O11" s="12" t="n">
        <v>0</v>
      </c>
      <c r="P11" s="13" t="n">
        <v>0.3</v>
      </c>
      <c r="Q11" s="9" t="inlineStr">
        <is>
          <t>نسبة مئوية</t>
        </is>
      </c>
      <c r="R11" s="9" t="inlineStr">
        <is>
          <t>wahag promo 30</t>
        </is>
      </c>
      <c r="S11" s="12">
        <f>IF(AA11&gt;0, AA11, J11)</f>
        <v/>
      </c>
      <c r="T11" s="13">
        <f>IF(K11&gt;0, ((K11/1.15)-S11)/(K11/1.15), 0)</f>
        <v/>
      </c>
      <c r="U11" s="12">
        <f>ROUND((S11/0.80)*1.15, 2)</f>
        <v/>
      </c>
      <c r="V11" s="14" t="n">
        <v>12</v>
      </c>
      <c r="W11" s="14" t="n">
        <v>0</v>
      </c>
      <c r="X11" s="11" t="inlineStr">
        <is>
          <t xml:space="preserve"> [901-837] Wahaj Medical Company</t>
        </is>
      </c>
      <c r="Y11" s="12" t="n">
        <v>7.2</v>
      </c>
      <c r="Z11" s="15" t="n">
        <v>0</v>
      </c>
      <c r="AA11" s="12" t="n">
        <v>7.2</v>
      </c>
      <c r="AB11" s="16" t="n">
        <v>45906</v>
      </c>
      <c r="AC11" s="16" t="n">
        <v>45912</v>
      </c>
      <c r="AD11" s="14" t="n">
        <v>12</v>
      </c>
      <c r="AE11" s="14" t="n">
        <v>0</v>
      </c>
      <c r="AF11" s="14" t="n">
        <v>0</v>
      </c>
      <c r="AG11" s="14" t="n">
        <v>0</v>
      </c>
      <c r="AH11" s="14" t="n">
        <v>0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P11" s="14" t="n">
        <v>0</v>
      </c>
      <c r="AQ11" s="14" t="n">
        <v>0</v>
      </c>
      <c r="AR11" s="14" t="n">
        <v>0</v>
      </c>
      <c r="AS11" s="14" t="n">
        <v>0</v>
      </c>
      <c r="AT11" s="14" t="n">
        <v>0</v>
      </c>
      <c r="AU11" s="14" t="n">
        <v>0</v>
      </c>
      <c r="AV11" s="14" t="n">
        <v>0</v>
      </c>
      <c r="AW11" s="14" t="n">
        <v>0</v>
      </c>
      <c r="AX11" s="14" t="n">
        <v>0</v>
      </c>
      <c r="AY11" s="14" t="n">
        <v>0</v>
      </c>
      <c r="AZ11" s="14" t="n">
        <v>0</v>
      </c>
      <c r="BA11" s="14" t="n">
        <v>0</v>
      </c>
      <c r="BB11" s="14" t="n">
        <v>0</v>
      </c>
      <c r="BC11" s="14" t="n">
        <v>0</v>
      </c>
      <c r="BD11" s="14" t="n">
        <v>0</v>
      </c>
      <c r="BE11" s="14" t="n">
        <v>0</v>
      </c>
      <c r="BF11" s="14" t="n">
        <v>0</v>
      </c>
      <c r="BG11" s="14" t="n">
        <v>0</v>
      </c>
      <c r="BH11" s="14" t="n">
        <v>0</v>
      </c>
      <c r="BI11" s="14" t="n">
        <v>0</v>
      </c>
      <c r="BJ11" s="14" t="n">
        <v>0</v>
      </c>
      <c r="BK11" s="14" t="n">
        <v>0</v>
      </c>
      <c r="BL11" s="14" t="n">
        <v>0</v>
      </c>
      <c r="BM11" s="14" t="n">
        <v>0</v>
      </c>
      <c r="BN11" s="14" t="n">
        <v>0</v>
      </c>
      <c r="BO11" s="14" t="n">
        <v>12</v>
      </c>
      <c r="BP11" s="14" t="n">
        <v>0</v>
      </c>
      <c r="BQ11" s="14" t="n">
        <v>0</v>
      </c>
      <c r="BR11" s="14" t="n">
        <v>0</v>
      </c>
      <c r="BS11" s="14" t="n">
        <v>0</v>
      </c>
      <c r="BT11" s="14" t="n">
        <v>0</v>
      </c>
      <c r="BU11" s="14" t="n">
        <v>0</v>
      </c>
      <c r="BV11" s="14" t="n">
        <v>0</v>
      </c>
      <c r="BW11" s="14" t="n">
        <v>0</v>
      </c>
      <c r="BX11" s="14" t="n">
        <v>0</v>
      </c>
      <c r="BY11" s="14" t="n">
        <v>0</v>
      </c>
      <c r="BZ11" s="14" t="n">
        <v>0</v>
      </c>
      <c r="CA11" s="14" t="n">
        <v>0</v>
      </c>
      <c r="CB11" s="14" t="n">
        <v>0</v>
      </c>
      <c r="CC11" s="14" t="n">
        <v>0</v>
      </c>
      <c r="CD11" s="14" t="n">
        <v>0</v>
      </c>
      <c r="CE11" s="14" t="n">
        <v>0</v>
      </c>
      <c r="CF11" s="14" t="n">
        <v>0</v>
      </c>
      <c r="CG11" s="14" t="n">
        <v>0</v>
      </c>
      <c r="CH11" s="14" t="n">
        <v>0</v>
      </c>
      <c r="CI11" s="14" t="n">
        <v>0</v>
      </c>
      <c r="CJ11" s="14" t="n">
        <v>0</v>
      </c>
      <c r="CK11" s="14" t="n">
        <v>0</v>
      </c>
      <c r="CL11" s="14" t="n">
        <v>0</v>
      </c>
      <c r="CM11" s="14" t="n">
        <v>0</v>
      </c>
      <c r="CN11" s="14" t="n">
        <v>0</v>
      </c>
      <c r="CO11" s="14" t="n">
        <v>0</v>
      </c>
      <c r="CP11" s="14" t="n">
        <v>0</v>
      </c>
      <c r="CQ11" s="14" t="n">
        <v>12</v>
      </c>
      <c r="CR11" s="14" t="n">
        <v>0</v>
      </c>
      <c r="CS11" s="14" t="n">
        <v>999</v>
      </c>
      <c r="CT11" s="17" t="inlineStr">
        <is>
          <t>راكد</t>
        </is>
      </c>
      <c r="CU11" s="14" t="n">
        <v>0</v>
      </c>
      <c r="CV11" s="12" t="n">
        <v>0</v>
      </c>
      <c r="CW11" s="18" t="inlineStr">
        <is>
          <t>C</t>
        </is>
      </c>
      <c r="CX11" s="9" t="inlineStr">
        <is>
          <t>─</t>
        </is>
      </c>
    </row>
    <row r="12">
      <c r="A12" s="19" t="inlineStr">
        <is>
          <t>4505-845949</t>
        </is>
      </c>
      <c r="B12" s="19" t="inlineStr">
        <is>
          <t>6221009000554</t>
        </is>
      </c>
      <c r="C12" s="20" t="n"/>
      <c r="D12" s="21" t="inlineStr">
        <is>
          <t>Sparkle Shampoo and Conditioner for Split Hair 350ml</t>
        </is>
      </c>
      <c r="E12" s="20" t="inlineStr">
        <is>
          <t>سباركل شامبو و بلسم للشعر المتقصف 350 مل</t>
        </is>
      </c>
      <c r="F12" s="19" t="inlineStr">
        <is>
          <t>PC</t>
        </is>
      </c>
      <c r="G12" s="20" t="inlineStr">
        <is>
          <t>SG0040-OTHER PRODUCTS, 
901-837 Wahaj Medical Company, wahag promo 30</t>
        </is>
      </c>
      <c r="H12" s="19" t="inlineStr">
        <is>
          <t>Sales VAT 15%</t>
        </is>
      </c>
      <c r="I12" s="19" t="inlineStr">
        <is>
          <t>PUR Local VAT15%</t>
        </is>
      </c>
      <c r="J12" s="22" t="n">
        <v>7.2</v>
      </c>
      <c r="K12" s="22" t="n">
        <v>10.25</v>
      </c>
      <c r="L12" s="23" t="n">
        <v>0.2976</v>
      </c>
      <c r="M12" s="22" t="n">
        <v>7.17</v>
      </c>
      <c r="N12" s="22" t="n">
        <v>10.25</v>
      </c>
      <c r="O12" s="22" t="n">
        <v>0</v>
      </c>
      <c r="P12" s="23" t="n">
        <v>0.3</v>
      </c>
      <c r="Q12" s="19" t="inlineStr">
        <is>
          <t>نسبة مئوية</t>
        </is>
      </c>
      <c r="R12" s="19" t="inlineStr">
        <is>
          <t>wahag promo 30</t>
        </is>
      </c>
      <c r="S12" s="22">
        <f>IF(AA12&gt;0, AA12, J12)</f>
        <v/>
      </c>
      <c r="T12" s="23">
        <f>IF(K12&gt;0, ((K12/1.15)-S12)/(K12/1.15), 0)</f>
        <v/>
      </c>
      <c r="U12" s="22">
        <f>ROUND((S12/0.80)*1.15, 2)</f>
        <v/>
      </c>
      <c r="V12" s="24" t="n">
        <v>12</v>
      </c>
      <c r="W12" s="24" t="n">
        <v>0</v>
      </c>
      <c r="X12" s="21" t="inlineStr">
        <is>
          <t xml:space="preserve"> [901-837] Wahaj Medical Company</t>
        </is>
      </c>
      <c r="Y12" s="22" t="n">
        <v>7.2</v>
      </c>
      <c r="Z12" s="25" t="n">
        <v>0</v>
      </c>
      <c r="AA12" s="22" t="n">
        <v>7.2</v>
      </c>
      <c r="AB12" s="26" t="n">
        <v>45906</v>
      </c>
      <c r="AC12" s="26" t="n">
        <v>45912</v>
      </c>
      <c r="AD12" s="24" t="n">
        <v>12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24" t="n">
        <v>0</v>
      </c>
      <c r="AP12" s="24" t="n">
        <v>0</v>
      </c>
      <c r="AQ12" s="24" t="n">
        <v>0</v>
      </c>
      <c r="AR12" s="24" t="n">
        <v>0</v>
      </c>
      <c r="AS12" s="24" t="n">
        <v>0</v>
      </c>
      <c r="AT12" s="24" t="n">
        <v>0</v>
      </c>
      <c r="AU12" s="24" t="n">
        <v>0</v>
      </c>
      <c r="AV12" s="24" t="n">
        <v>0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0</v>
      </c>
      <c r="BO12" s="24" t="n">
        <v>12</v>
      </c>
      <c r="BP12" s="24" t="n">
        <v>0</v>
      </c>
      <c r="BQ12" s="24" t="n">
        <v>0</v>
      </c>
      <c r="BR12" s="24" t="n">
        <v>0</v>
      </c>
      <c r="BS12" s="24" t="n">
        <v>0</v>
      </c>
      <c r="BT12" s="24" t="n">
        <v>0</v>
      </c>
      <c r="BU12" s="24" t="n">
        <v>0</v>
      </c>
      <c r="BV12" s="24" t="n">
        <v>0</v>
      </c>
      <c r="BW12" s="24" t="n">
        <v>0</v>
      </c>
      <c r="BX12" s="24" t="n">
        <v>0</v>
      </c>
      <c r="BY12" s="24" t="n">
        <v>0</v>
      </c>
      <c r="BZ12" s="24" t="n">
        <v>0</v>
      </c>
      <c r="CA12" s="24" t="n">
        <v>0</v>
      </c>
      <c r="CB12" s="24" t="n">
        <v>0</v>
      </c>
      <c r="CC12" s="24" t="n">
        <v>0</v>
      </c>
      <c r="CD12" s="24" t="n">
        <v>0</v>
      </c>
      <c r="CE12" s="24" t="n">
        <v>0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0</v>
      </c>
      <c r="CN12" s="24" t="n">
        <v>0</v>
      </c>
      <c r="CO12" s="24" t="n">
        <v>0</v>
      </c>
      <c r="CP12" s="24" t="n">
        <v>0</v>
      </c>
      <c r="CQ12" s="24" t="n">
        <v>12</v>
      </c>
      <c r="CR12" s="24" t="n">
        <v>0</v>
      </c>
      <c r="CS12" s="24" t="n">
        <v>999</v>
      </c>
      <c r="CT12" s="27" t="inlineStr">
        <is>
          <t>راكد</t>
        </is>
      </c>
      <c r="CU12" s="24" t="n">
        <v>0</v>
      </c>
      <c r="CV12" s="22" t="n">
        <v>0</v>
      </c>
      <c r="CW12" s="28" t="inlineStr">
        <is>
          <t>C</t>
        </is>
      </c>
      <c r="CX12" s="19" t="inlineStr">
        <is>
          <t>─</t>
        </is>
      </c>
    </row>
    <row r="13">
      <c r="A13" s="9" t="inlineStr">
        <is>
          <t>4505-845950</t>
        </is>
      </c>
      <c r="B13" s="9" t="inlineStr">
        <is>
          <t>6221009007546</t>
        </is>
      </c>
      <c r="C13" s="10" t="n"/>
      <c r="D13" s="11" t="inlineStr">
        <is>
          <t>Sparkle Shampoo and Conditioner for Normal Hair 170ml</t>
        </is>
      </c>
      <c r="E13" s="10" t="inlineStr">
        <is>
          <t>سباركل شامبو و بلسم للشعر العادى 170 مل</t>
        </is>
      </c>
      <c r="F13" s="9" t="inlineStr">
        <is>
          <t>PC</t>
        </is>
      </c>
      <c r="G13" s="10" t="inlineStr">
        <is>
          <t>SG0040-OTHER PRODUCTS, 
901-837 Wahaj Medical Company, wahag promo 30</t>
        </is>
      </c>
      <c r="H13" s="9" t="inlineStr">
        <is>
          <t>Sales VAT 15%</t>
        </is>
      </c>
      <c r="I13" s="9" t="inlineStr">
        <is>
          <t>PUR Local VAT15%</t>
        </is>
      </c>
      <c r="J13" s="12" t="n">
        <v>4.5</v>
      </c>
      <c r="K13" s="12" t="n">
        <v>6.5</v>
      </c>
      <c r="L13" s="13" t="n">
        <v>0.3077</v>
      </c>
      <c r="M13" s="12" t="n">
        <v>4.55</v>
      </c>
      <c r="N13" s="12" t="n">
        <v>6.5</v>
      </c>
      <c r="O13" s="12" t="n">
        <v>0</v>
      </c>
      <c r="P13" s="13" t="n">
        <v>0.3</v>
      </c>
      <c r="Q13" s="9" t="inlineStr">
        <is>
          <t>نسبة مئوية</t>
        </is>
      </c>
      <c r="R13" s="9" t="inlineStr">
        <is>
          <t>wahag promo 30</t>
        </is>
      </c>
      <c r="S13" s="12">
        <f>IF(AA13&gt;0, AA13, J13)</f>
        <v/>
      </c>
      <c r="T13" s="13">
        <f>IF(K13&gt;0, ((K13/1.15)-S13)/(K13/1.15), 0)</f>
        <v/>
      </c>
      <c r="U13" s="12">
        <f>ROUND((S13/0.80)*1.15, 2)</f>
        <v/>
      </c>
      <c r="V13" s="14" t="n">
        <v>12</v>
      </c>
      <c r="W13" s="14" t="n">
        <v>0</v>
      </c>
      <c r="X13" s="11" t="inlineStr">
        <is>
          <t xml:space="preserve"> [901-837] Wahaj Medical Company</t>
        </is>
      </c>
      <c r="Y13" s="12" t="n">
        <v>4.5</v>
      </c>
      <c r="Z13" s="15" t="n">
        <v>0</v>
      </c>
      <c r="AA13" s="12" t="n">
        <v>4.5</v>
      </c>
      <c r="AB13" s="16" t="n">
        <v>45906</v>
      </c>
      <c r="AC13" s="16" t="n">
        <v>45912</v>
      </c>
      <c r="AD13" s="14" t="n">
        <v>12</v>
      </c>
      <c r="AE13" s="14" t="n">
        <v>0</v>
      </c>
      <c r="AF13" s="14" t="n">
        <v>0</v>
      </c>
      <c r="AG13" s="14" t="n">
        <v>0</v>
      </c>
      <c r="AH13" s="14" t="n">
        <v>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P13" s="14" t="n">
        <v>0</v>
      </c>
      <c r="AQ13" s="14" t="n">
        <v>0</v>
      </c>
      <c r="AR13" s="14" t="n">
        <v>0</v>
      </c>
      <c r="AS13" s="14" t="n">
        <v>0</v>
      </c>
      <c r="AT13" s="14" t="n">
        <v>0</v>
      </c>
      <c r="AU13" s="14" t="n">
        <v>0</v>
      </c>
      <c r="AV13" s="14" t="n">
        <v>0</v>
      </c>
      <c r="AW13" s="14" t="n">
        <v>0</v>
      </c>
      <c r="AX13" s="14" t="n">
        <v>0</v>
      </c>
      <c r="AY13" s="14" t="n">
        <v>0</v>
      </c>
      <c r="AZ13" s="14" t="n">
        <v>0</v>
      </c>
      <c r="BA13" s="14" t="n">
        <v>0</v>
      </c>
      <c r="BB13" s="14" t="n">
        <v>0</v>
      </c>
      <c r="BC13" s="14" t="n">
        <v>0</v>
      </c>
      <c r="BD13" s="14" t="n">
        <v>0</v>
      </c>
      <c r="BE13" s="14" t="n">
        <v>0</v>
      </c>
      <c r="BF13" s="14" t="n">
        <v>0</v>
      </c>
      <c r="BG13" s="14" t="n">
        <v>0</v>
      </c>
      <c r="BH13" s="14" t="n">
        <v>0</v>
      </c>
      <c r="BI13" s="14" t="n">
        <v>0</v>
      </c>
      <c r="BJ13" s="14" t="n">
        <v>0</v>
      </c>
      <c r="BK13" s="14" t="n">
        <v>0</v>
      </c>
      <c r="BL13" s="14" t="n">
        <v>0</v>
      </c>
      <c r="BM13" s="14" t="n">
        <v>0</v>
      </c>
      <c r="BN13" s="14" t="n">
        <v>0</v>
      </c>
      <c r="BO13" s="14" t="n">
        <v>12</v>
      </c>
      <c r="BP13" s="14" t="n">
        <v>0</v>
      </c>
      <c r="BQ13" s="14" t="n">
        <v>0</v>
      </c>
      <c r="BR13" s="14" t="n">
        <v>0</v>
      </c>
      <c r="BS13" s="14" t="n">
        <v>0</v>
      </c>
      <c r="BT13" s="14" t="n">
        <v>0</v>
      </c>
      <c r="BU13" s="14" t="n">
        <v>0</v>
      </c>
      <c r="BV13" s="14" t="n">
        <v>0</v>
      </c>
      <c r="BW13" s="14" t="n">
        <v>0</v>
      </c>
      <c r="BX13" s="14" t="n">
        <v>0</v>
      </c>
      <c r="BY13" s="14" t="n">
        <v>0</v>
      </c>
      <c r="BZ13" s="14" t="n">
        <v>0</v>
      </c>
      <c r="CA13" s="14" t="n">
        <v>0</v>
      </c>
      <c r="CB13" s="14" t="n">
        <v>0</v>
      </c>
      <c r="CC13" s="14" t="n">
        <v>0</v>
      </c>
      <c r="CD13" s="14" t="n">
        <v>0</v>
      </c>
      <c r="CE13" s="14" t="n">
        <v>0</v>
      </c>
      <c r="CF13" s="14" t="n">
        <v>0</v>
      </c>
      <c r="CG13" s="14" t="n">
        <v>0</v>
      </c>
      <c r="CH13" s="14" t="n">
        <v>0</v>
      </c>
      <c r="CI13" s="14" t="n">
        <v>0</v>
      </c>
      <c r="CJ13" s="14" t="n">
        <v>0</v>
      </c>
      <c r="CK13" s="14" t="n">
        <v>0</v>
      </c>
      <c r="CL13" s="14" t="n">
        <v>0</v>
      </c>
      <c r="CM13" s="14" t="n">
        <v>0</v>
      </c>
      <c r="CN13" s="14" t="n">
        <v>0</v>
      </c>
      <c r="CO13" s="14" t="n">
        <v>0</v>
      </c>
      <c r="CP13" s="14" t="n">
        <v>0</v>
      </c>
      <c r="CQ13" s="14" t="n">
        <v>12</v>
      </c>
      <c r="CR13" s="14" t="n">
        <v>0</v>
      </c>
      <c r="CS13" s="14" t="n">
        <v>999</v>
      </c>
      <c r="CT13" s="17" t="inlineStr">
        <is>
          <t>راكد</t>
        </is>
      </c>
      <c r="CU13" s="14" t="n">
        <v>0</v>
      </c>
      <c r="CV13" s="12" t="n">
        <v>0</v>
      </c>
      <c r="CW13" s="18" t="inlineStr">
        <is>
          <t>C</t>
        </is>
      </c>
      <c r="CX13" s="9" t="inlineStr">
        <is>
          <t>─</t>
        </is>
      </c>
    </row>
    <row r="14">
      <c r="A14" s="19" t="inlineStr">
        <is>
          <t>4505-845951</t>
        </is>
      </c>
      <c r="B14" s="19" t="inlineStr">
        <is>
          <t>6221009007553</t>
        </is>
      </c>
      <c r="C14" s="20" t="n"/>
      <c r="D14" s="21" t="inlineStr">
        <is>
          <t>Sparkle Shampoo and Conditioner for Dry Hair 170ml</t>
        </is>
      </c>
      <c r="E14" s="20" t="inlineStr">
        <is>
          <t>سباركل شامبو و بلسم للشعر الجاف 170 مل</t>
        </is>
      </c>
      <c r="F14" s="19" t="inlineStr">
        <is>
          <t>PC</t>
        </is>
      </c>
      <c r="G14" s="20" t="inlineStr">
        <is>
          <t>SG0040-OTHER PRODUCTS, 
901-837 Wahaj Medical Company, wahag promo 30</t>
        </is>
      </c>
      <c r="H14" s="19" t="inlineStr">
        <is>
          <t>Sales VAT 15%</t>
        </is>
      </c>
      <c r="I14" s="19" t="inlineStr">
        <is>
          <t>PUR Local VAT15%</t>
        </is>
      </c>
      <c r="J14" s="22" t="n">
        <v>4.5</v>
      </c>
      <c r="K14" s="22" t="n">
        <v>6.5</v>
      </c>
      <c r="L14" s="23" t="n">
        <v>0.3077</v>
      </c>
      <c r="M14" s="22" t="n">
        <v>4.55</v>
      </c>
      <c r="N14" s="22" t="n">
        <v>6.5</v>
      </c>
      <c r="O14" s="22" t="n">
        <v>0</v>
      </c>
      <c r="P14" s="23" t="n">
        <v>0.3</v>
      </c>
      <c r="Q14" s="19" t="inlineStr">
        <is>
          <t>نسبة مئوية</t>
        </is>
      </c>
      <c r="R14" s="19" t="inlineStr">
        <is>
          <t>wahag promo 30</t>
        </is>
      </c>
      <c r="S14" s="22">
        <f>IF(AA14&gt;0, AA14, J14)</f>
        <v/>
      </c>
      <c r="T14" s="23">
        <f>IF(K14&gt;0, ((K14/1.15)-S14)/(K14/1.15), 0)</f>
        <v/>
      </c>
      <c r="U14" s="22">
        <f>ROUND((S14/0.80)*1.15, 2)</f>
        <v/>
      </c>
      <c r="V14" s="24" t="n">
        <v>12</v>
      </c>
      <c r="W14" s="24" t="n">
        <v>0</v>
      </c>
      <c r="X14" s="21" t="inlineStr">
        <is>
          <t xml:space="preserve"> [901-837] Wahaj Medical Company</t>
        </is>
      </c>
      <c r="Y14" s="22" t="n">
        <v>4.5</v>
      </c>
      <c r="Z14" s="25" t="n">
        <v>0</v>
      </c>
      <c r="AA14" s="22" t="n">
        <v>4.5</v>
      </c>
      <c r="AB14" s="26" t="n">
        <v>45906</v>
      </c>
      <c r="AC14" s="26" t="n">
        <v>45912</v>
      </c>
      <c r="AD14" s="24" t="n">
        <v>12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24" t="n">
        <v>0</v>
      </c>
      <c r="AP14" s="24" t="n">
        <v>0</v>
      </c>
      <c r="AQ14" s="24" t="n">
        <v>0</v>
      </c>
      <c r="AR14" s="24" t="n">
        <v>0</v>
      </c>
      <c r="AS14" s="24" t="n">
        <v>0</v>
      </c>
      <c r="AT14" s="24" t="n">
        <v>0</v>
      </c>
      <c r="AU14" s="24" t="n">
        <v>0</v>
      </c>
      <c r="AV14" s="24" t="n">
        <v>0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0</v>
      </c>
      <c r="BO14" s="24" t="n">
        <v>12</v>
      </c>
      <c r="BP14" s="24" t="n">
        <v>0</v>
      </c>
      <c r="BQ14" s="24" t="n">
        <v>0</v>
      </c>
      <c r="BR14" s="24" t="n">
        <v>0</v>
      </c>
      <c r="BS14" s="24" t="n">
        <v>0</v>
      </c>
      <c r="BT14" s="24" t="n">
        <v>0</v>
      </c>
      <c r="BU14" s="24" t="n">
        <v>0</v>
      </c>
      <c r="BV14" s="24" t="n">
        <v>0</v>
      </c>
      <c r="BW14" s="24" t="n">
        <v>0</v>
      </c>
      <c r="BX14" s="24" t="n">
        <v>0</v>
      </c>
      <c r="BY14" s="24" t="n">
        <v>0</v>
      </c>
      <c r="BZ14" s="24" t="n">
        <v>0</v>
      </c>
      <c r="CA14" s="24" t="n">
        <v>0</v>
      </c>
      <c r="CB14" s="24" t="n">
        <v>0</v>
      </c>
      <c r="CC14" s="24" t="n">
        <v>0</v>
      </c>
      <c r="CD14" s="24" t="n">
        <v>0</v>
      </c>
      <c r="CE14" s="24" t="n">
        <v>0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0</v>
      </c>
      <c r="CN14" s="24" t="n">
        <v>0</v>
      </c>
      <c r="CO14" s="24" t="n">
        <v>0</v>
      </c>
      <c r="CP14" s="24" t="n">
        <v>0</v>
      </c>
      <c r="CQ14" s="24" t="n">
        <v>12</v>
      </c>
      <c r="CR14" s="24" t="n">
        <v>0</v>
      </c>
      <c r="CS14" s="24" t="n">
        <v>999</v>
      </c>
      <c r="CT14" s="27" t="inlineStr">
        <is>
          <t>راكد</t>
        </is>
      </c>
      <c r="CU14" s="24" t="n">
        <v>0</v>
      </c>
      <c r="CV14" s="22" t="n">
        <v>0</v>
      </c>
      <c r="CW14" s="28" t="inlineStr">
        <is>
          <t>C</t>
        </is>
      </c>
      <c r="CX14" s="19" t="inlineStr">
        <is>
          <t>─</t>
        </is>
      </c>
    </row>
    <row r="15">
      <c r="A15" s="9" t="inlineStr">
        <is>
          <t>4505-848775</t>
        </is>
      </c>
      <c r="B15" s="9" t="inlineStr">
        <is>
          <t>811131032897</t>
        </is>
      </c>
      <c r="C15" s="10" t="n"/>
      <c r="D15" s="11" t="inlineStr">
        <is>
          <t xml:space="preserve">luxliss Moisturizing Hair Care  Shampoo 500 ml
</t>
        </is>
      </c>
      <c r="E15" s="10" t="inlineStr">
        <is>
          <t>شامبو لوكسليس مويستشرَيزنج للعناية بالشعر الجاف   500 مل</t>
        </is>
      </c>
      <c r="F15" s="9" t="inlineStr">
        <is>
          <t>PC</t>
        </is>
      </c>
      <c r="G15" s="10" t="inlineStr">
        <is>
          <t>SG0040-OTHER PRODUCTS, wahag promo 30</t>
        </is>
      </c>
      <c r="H15" s="9" t="inlineStr">
        <is>
          <t>Sales VAT 15%</t>
        </is>
      </c>
      <c r="I15" s="9" t="inlineStr">
        <is>
          <t>PUR Local VAT15%</t>
        </is>
      </c>
      <c r="J15" s="12" t="n">
        <v>32.8</v>
      </c>
      <c r="K15" s="12" t="n">
        <v>47.25</v>
      </c>
      <c r="L15" s="13" t="n">
        <v>0.3058</v>
      </c>
      <c r="M15" s="12" t="n">
        <v>33.07</v>
      </c>
      <c r="N15" s="12" t="n">
        <v>47.25</v>
      </c>
      <c r="O15" s="12" t="n">
        <v>0</v>
      </c>
      <c r="P15" s="13" t="n">
        <v>0.3</v>
      </c>
      <c r="Q15" s="9" t="inlineStr">
        <is>
          <t>نسبة مئوية</t>
        </is>
      </c>
      <c r="R15" s="9" t="inlineStr">
        <is>
          <t>wahag promo 30</t>
        </is>
      </c>
      <c r="S15" s="12">
        <f>IF(AA15&gt;0, AA15, J15)</f>
        <v/>
      </c>
      <c r="T15" s="13">
        <f>IF(K15&gt;0, ((K15/1.15)-S15)/(K15/1.15), 0)</f>
        <v/>
      </c>
      <c r="U15" s="12">
        <f>ROUND((S15/0.80)*1.15, 2)</f>
        <v/>
      </c>
      <c r="V15" s="14" t="n">
        <v>16</v>
      </c>
      <c r="W15" s="14" t="n">
        <v>8</v>
      </c>
      <c r="X15" s="11" t="inlineStr">
        <is>
          <t xml:space="preserve"> [901-837] Wahaj Medical Company</t>
        </is>
      </c>
      <c r="Y15" s="12" t="n">
        <v>32.8</v>
      </c>
      <c r="Z15" s="15" t="n">
        <v>0</v>
      </c>
      <c r="AA15" s="12" t="n">
        <v>32.8</v>
      </c>
      <c r="AB15" s="16" t="n">
        <v>46086</v>
      </c>
      <c r="AC15" s="16" t="n">
        <v>46096</v>
      </c>
      <c r="AD15" s="14" t="n">
        <v>24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16</v>
      </c>
      <c r="BP15" s="14" t="n">
        <v>8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16</v>
      </c>
      <c r="CR15" s="14" t="n">
        <v>8</v>
      </c>
      <c r="CS15" s="14" t="n">
        <v>730</v>
      </c>
      <c r="CT15" s="29" t="inlineStr">
        <is>
          <t>فائض المخزون</t>
        </is>
      </c>
      <c r="CU15" s="14" t="n">
        <v>0</v>
      </c>
      <c r="CV15" s="12" t="n">
        <v>0</v>
      </c>
      <c r="CW15" s="31" t="inlineStr">
        <is>
          <t>A</t>
        </is>
      </c>
      <c r="CX15" s="9" t="inlineStr">
        <is>
          <t>─</t>
        </is>
      </c>
    </row>
    <row r="16">
      <c r="A16" s="19" t="inlineStr">
        <is>
          <t>4505-848783</t>
        </is>
      </c>
      <c r="B16" s="19" t="inlineStr">
        <is>
          <t>811131032767</t>
        </is>
      </c>
      <c r="C16" s="20" t="n"/>
      <c r="D16" s="21" t="inlineStr">
        <is>
          <t xml:space="preserve">luxliss BALANCING Blonde &amp; Silver Shampoo 500 ml
</t>
        </is>
      </c>
      <c r="E16" s="20" t="inlineStr">
        <is>
          <t>شامبو لوكسليس بالنْسِنج  للشعر الأشقر والابيض  500 مل</t>
        </is>
      </c>
      <c r="F16" s="19" t="inlineStr">
        <is>
          <t>PC</t>
        </is>
      </c>
      <c r="G16" s="20" t="inlineStr">
        <is>
          <t>SG0040-OTHER PRODUCTS, wahag promo 30</t>
        </is>
      </c>
      <c r="H16" s="19" t="inlineStr">
        <is>
          <t>Sales VAT 15%</t>
        </is>
      </c>
      <c r="I16" s="19" t="inlineStr">
        <is>
          <t>PUR Local VAT15%</t>
        </is>
      </c>
      <c r="J16" s="22" t="n">
        <v>32.8</v>
      </c>
      <c r="K16" s="22" t="n">
        <v>47.25</v>
      </c>
      <c r="L16" s="23" t="n">
        <v>0.3058</v>
      </c>
      <c r="M16" s="22" t="n">
        <v>33.07</v>
      </c>
      <c r="N16" s="22" t="n">
        <v>47.25</v>
      </c>
      <c r="O16" s="22" t="n">
        <v>0</v>
      </c>
      <c r="P16" s="23" t="n">
        <v>0.3</v>
      </c>
      <c r="Q16" s="19" t="inlineStr">
        <is>
          <t>نسبة مئوية</t>
        </is>
      </c>
      <c r="R16" s="19" t="inlineStr">
        <is>
          <t>wahag promo 30</t>
        </is>
      </c>
      <c r="S16" s="22">
        <f>IF(AA16&gt;0, AA16, J16)</f>
        <v/>
      </c>
      <c r="T16" s="23">
        <f>IF(K16&gt;0, ((K16/1.15)-S16)/(K16/1.15), 0)</f>
        <v/>
      </c>
      <c r="U16" s="22">
        <f>ROUND((S16/0.80)*1.15, 2)</f>
        <v/>
      </c>
      <c r="V16" s="24" t="n">
        <v>15</v>
      </c>
      <c r="W16" s="24" t="n">
        <v>9</v>
      </c>
      <c r="X16" s="21" t="inlineStr">
        <is>
          <t xml:space="preserve"> [901-837] Wahaj Medical Company</t>
        </is>
      </c>
      <c r="Y16" s="22" t="n">
        <v>32.8</v>
      </c>
      <c r="Z16" s="25" t="n">
        <v>0</v>
      </c>
      <c r="AA16" s="22" t="n">
        <v>32.8</v>
      </c>
      <c r="AB16" s="26" t="n">
        <v>46086</v>
      </c>
      <c r="AC16" s="26" t="n">
        <v>46096</v>
      </c>
      <c r="AD16" s="24" t="n">
        <v>24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15</v>
      </c>
      <c r="BP16" s="24" t="n">
        <v>9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0</v>
      </c>
      <c r="CQ16" s="24" t="n">
        <v>15</v>
      </c>
      <c r="CR16" s="24" t="n">
        <v>9</v>
      </c>
      <c r="CS16" s="24" t="n">
        <v>608</v>
      </c>
      <c r="CT16" s="30" t="inlineStr">
        <is>
          <t>فائض المخزون</t>
        </is>
      </c>
      <c r="CU16" s="24" t="n">
        <v>0</v>
      </c>
      <c r="CV16" s="22" t="n">
        <v>0</v>
      </c>
      <c r="CW16" s="32" t="inlineStr">
        <is>
          <t>A</t>
        </is>
      </c>
      <c r="CX16" s="19" t="inlineStr">
        <is>
          <t>─</t>
        </is>
      </c>
    </row>
    <row r="17">
      <c r="A17" s="9" t="inlineStr">
        <is>
          <t>4505-848787</t>
        </is>
      </c>
      <c r="B17" s="9" t="inlineStr">
        <is>
          <t>811131033245</t>
        </is>
      </c>
      <c r="C17" s="10" t="n"/>
      <c r="D17" s="11" t="inlineStr">
        <is>
          <t xml:space="preserve">luxliss Repairing Hair Care Shampoo 40 ml
</t>
        </is>
      </c>
      <c r="E17" s="10" t="inlineStr">
        <is>
          <t>شامبو لوكسليس رِبِيرِنج للعناية بالشعر التالف 40 مل</t>
        </is>
      </c>
      <c r="F17" s="9" t="inlineStr">
        <is>
          <t>PC</t>
        </is>
      </c>
      <c r="G17" s="10" t="inlineStr">
        <is>
          <t>SG0040-OTHER PRODUCTS, wahag promo 30</t>
        </is>
      </c>
      <c r="H17" s="9" t="inlineStr">
        <is>
          <t>Sales VAT 15%</t>
        </is>
      </c>
      <c r="I17" s="9" t="inlineStr">
        <is>
          <t>PUR Local VAT15%</t>
        </is>
      </c>
      <c r="J17" s="12" t="n">
        <v>4</v>
      </c>
      <c r="K17" s="12" t="n">
        <v>5.75</v>
      </c>
      <c r="L17" s="13" t="n">
        <v>0.3043</v>
      </c>
      <c r="M17" s="12" t="n">
        <v>4.02</v>
      </c>
      <c r="N17" s="12" t="n">
        <v>5.75</v>
      </c>
      <c r="O17" s="12" t="n">
        <v>0</v>
      </c>
      <c r="P17" s="13" t="n">
        <v>0.3</v>
      </c>
      <c r="Q17" s="9" t="inlineStr">
        <is>
          <t>نسبة مئوية</t>
        </is>
      </c>
      <c r="R17" s="9" t="inlineStr">
        <is>
          <t>wahag promo 30</t>
        </is>
      </c>
      <c r="S17" s="12">
        <f>IF(AA17&gt;0, AA17, J17)</f>
        <v/>
      </c>
      <c r="T17" s="13">
        <f>IF(K17&gt;0, ((K17/1.15)-S17)/(K17/1.15), 0)</f>
        <v/>
      </c>
      <c r="U17" s="12">
        <f>ROUND((S17/0.80)*1.15, 2)</f>
        <v/>
      </c>
      <c r="V17" s="14" t="n">
        <v>11</v>
      </c>
      <c r="W17" s="14" t="n">
        <v>13</v>
      </c>
      <c r="X17" s="11" t="inlineStr">
        <is>
          <t xml:space="preserve"> [901-837] Wahaj Medical Company</t>
        </is>
      </c>
      <c r="Y17" s="12" t="n">
        <v>4</v>
      </c>
      <c r="Z17" s="15" t="n">
        <v>0</v>
      </c>
      <c r="AA17" s="12" t="n">
        <v>4</v>
      </c>
      <c r="AB17" s="16" t="n">
        <v>46086</v>
      </c>
      <c r="AC17" s="16" t="n">
        <v>46096</v>
      </c>
      <c r="AD17" s="14" t="n">
        <v>24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3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8</v>
      </c>
      <c r="BP17" s="14" t="n">
        <v>13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11</v>
      </c>
      <c r="CR17" s="14" t="n">
        <v>13</v>
      </c>
      <c r="CS17" s="14" t="n">
        <v>309</v>
      </c>
      <c r="CT17" s="29" t="inlineStr">
        <is>
          <t>فائض المخزون</t>
        </is>
      </c>
      <c r="CU17" s="14" t="n">
        <v>0</v>
      </c>
      <c r="CV17" s="12" t="n">
        <v>0</v>
      </c>
      <c r="CW17" s="18" t="inlineStr">
        <is>
          <t>C</t>
        </is>
      </c>
      <c r="CX17" s="9" t="inlineStr">
        <is>
          <t>─</t>
        </is>
      </c>
    </row>
    <row r="18">
      <c r="A18" s="19" t="inlineStr">
        <is>
          <t>4505-848831</t>
        </is>
      </c>
      <c r="B18" s="19" t="inlineStr">
        <is>
          <t>8809371972983</t>
        </is>
      </c>
      <c r="C18" s="20" t="n"/>
      <c r="D18" s="21" t="inlineStr">
        <is>
          <t>DESEMBRE 24K GOLD BLASTING AMPOULE 100 ml</t>
        </is>
      </c>
      <c r="E18" s="20" t="inlineStr">
        <is>
          <t xml:space="preserve">ديسمبر أمبولة الذهب عيار 24 قيراطا 100 مل </t>
        </is>
      </c>
      <c r="F18" s="19" t="inlineStr">
        <is>
          <t>PC</t>
        </is>
      </c>
      <c r="G18" s="20" t="inlineStr">
        <is>
          <t>SG0040-OTHER PRODUCTS, wahag promo 30</t>
        </is>
      </c>
      <c r="H18" s="19" t="inlineStr">
        <is>
          <t>Sales VAT 15%</t>
        </is>
      </c>
      <c r="I18" s="19" t="inlineStr">
        <is>
          <t>PUR Local VAT15%</t>
        </is>
      </c>
      <c r="J18" s="22" t="n">
        <v>60</v>
      </c>
      <c r="K18" s="22" t="n">
        <v>86.25</v>
      </c>
      <c r="L18" s="23" t="n">
        <v>0.3043</v>
      </c>
      <c r="M18" s="22" t="n">
        <v>60.37</v>
      </c>
      <c r="N18" s="22" t="n">
        <v>86.25</v>
      </c>
      <c r="O18" s="22" t="n">
        <v>0</v>
      </c>
      <c r="P18" s="23" t="n">
        <v>0.3</v>
      </c>
      <c r="Q18" s="19" t="inlineStr">
        <is>
          <t>نسبة مئوية</t>
        </is>
      </c>
      <c r="R18" s="19" t="inlineStr">
        <is>
          <t>wahag promo 30</t>
        </is>
      </c>
      <c r="S18" s="22">
        <f>IF(AA18&gt;0, AA18, J18)</f>
        <v/>
      </c>
      <c r="T18" s="23">
        <f>IF(K18&gt;0, ((K18/1.15)-S18)/(K18/1.15), 0)</f>
        <v/>
      </c>
      <c r="U18" s="22">
        <f>ROUND((S18/0.80)*1.15, 2)</f>
        <v/>
      </c>
      <c r="V18" s="24" t="n">
        <v>3</v>
      </c>
      <c r="W18" s="24" t="n">
        <v>9</v>
      </c>
      <c r="X18" s="21" t="inlineStr">
        <is>
          <t xml:space="preserve"> [901-837] Wahaj Medical Company</t>
        </is>
      </c>
      <c r="Y18" s="22" t="n">
        <v>60</v>
      </c>
      <c r="Z18" s="25" t="n">
        <v>0</v>
      </c>
      <c r="AA18" s="22" t="n">
        <v>60</v>
      </c>
      <c r="AB18" s="26" t="n">
        <v>46092</v>
      </c>
      <c r="AC18" s="26" t="n">
        <v>46097</v>
      </c>
      <c r="AD18" s="24" t="n">
        <v>12</v>
      </c>
      <c r="AE18" s="24" t="n">
        <v>0</v>
      </c>
      <c r="AF18" s="24" t="n">
        <v>0</v>
      </c>
      <c r="AG18" s="24" t="n">
        <v>0</v>
      </c>
      <c r="AH18" s="24" t="n">
        <v>0</v>
      </c>
      <c r="AI18" s="24" t="n">
        <v>0</v>
      </c>
      <c r="AJ18" s="24" t="n">
        <v>0</v>
      </c>
      <c r="AK18" s="24" t="n">
        <v>0</v>
      </c>
      <c r="AL18" s="24" t="n">
        <v>0</v>
      </c>
      <c r="AM18" s="24" t="n">
        <v>0</v>
      </c>
      <c r="AN18" s="24" t="n">
        <v>0</v>
      </c>
      <c r="AO18" s="24" t="n">
        <v>0</v>
      </c>
      <c r="AP18" s="24" t="n">
        <v>0</v>
      </c>
      <c r="AQ18" s="24" t="n">
        <v>0</v>
      </c>
      <c r="AR18" s="24" t="n">
        <v>0</v>
      </c>
      <c r="AS18" s="24" t="n">
        <v>0</v>
      </c>
      <c r="AT18" s="24" t="n">
        <v>0</v>
      </c>
      <c r="AU18" s="24" t="n">
        <v>0</v>
      </c>
      <c r="AV18" s="24" t="n">
        <v>0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0</v>
      </c>
      <c r="BO18" s="24" t="n">
        <v>3</v>
      </c>
      <c r="BP18" s="24" t="n">
        <v>9</v>
      </c>
      <c r="BQ18" s="24" t="n">
        <v>0</v>
      </c>
      <c r="BR18" s="24" t="n">
        <v>0</v>
      </c>
      <c r="BS18" s="24" t="n">
        <v>0</v>
      </c>
      <c r="BT18" s="24" t="n">
        <v>0</v>
      </c>
      <c r="BU18" s="24" t="n">
        <v>0</v>
      </c>
      <c r="BV18" s="24" t="n">
        <v>0</v>
      </c>
      <c r="BW18" s="24" t="n">
        <v>0</v>
      </c>
      <c r="BX18" s="24" t="n">
        <v>0</v>
      </c>
      <c r="BY18" s="24" t="n">
        <v>0</v>
      </c>
      <c r="BZ18" s="24" t="n">
        <v>0</v>
      </c>
      <c r="CA18" s="24" t="n">
        <v>0</v>
      </c>
      <c r="CB18" s="24" t="n">
        <v>0</v>
      </c>
      <c r="CC18" s="24" t="n">
        <v>0</v>
      </c>
      <c r="CD18" s="24" t="n">
        <v>0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0</v>
      </c>
      <c r="CN18" s="24" t="n">
        <v>0</v>
      </c>
      <c r="CO18" s="24" t="n">
        <v>0</v>
      </c>
      <c r="CP18" s="24" t="n">
        <v>0</v>
      </c>
      <c r="CQ18" s="24" t="n">
        <v>3</v>
      </c>
      <c r="CR18" s="24" t="n">
        <v>9</v>
      </c>
      <c r="CS18" s="24" t="n">
        <v>122</v>
      </c>
      <c r="CT18" s="33" t="inlineStr">
        <is>
          <t>متوازن</t>
        </is>
      </c>
      <c r="CU18" s="24" t="n">
        <v>0</v>
      </c>
      <c r="CV18" s="22" t="n">
        <v>0</v>
      </c>
      <c r="CW18" s="32" t="inlineStr">
        <is>
          <t>A</t>
        </is>
      </c>
      <c r="CX18" s="19" t="inlineStr">
        <is>
          <t>─</t>
        </is>
      </c>
    </row>
    <row r="19">
      <c r="A19" s="9" t="inlineStr">
        <is>
          <t>4505-848833</t>
        </is>
      </c>
      <c r="B19" s="9" t="inlineStr">
        <is>
          <t>8809371973195</t>
        </is>
      </c>
      <c r="C19" s="10" t="n"/>
      <c r="D19" s="11" t="inlineStr">
        <is>
          <t>DESEMBRE 3IN1 PEELING CREAM 50 gm</t>
        </is>
      </c>
      <c r="E19" s="10" t="inlineStr">
        <is>
          <t>ديسمبر كريم تقشير  3 فى 1 50 جم</t>
        </is>
      </c>
      <c r="F19" s="9" t="inlineStr">
        <is>
          <t>PC</t>
        </is>
      </c>
      <c r="G19" s="10" t="inlineStr">
        <is>
          <t>SG0040-OTHER PRODUCTS, wahag promo 30</t>
        </is>
      </c>
      <c r="H19" s="9" t="inlineStr">
        <is>
          <t>Sales VAT 15%</t>
        </is>
      </c>
      <c r="I19" s="9" t="inlineStr">
        <is>
          <t>PUR Local VAT15%</t>
        </is>
      </c>
      <c r="J19" s="12" t="n">
        <v>68</v>
      </c>
      <c r="K19" s="12" t="n">
        <v>97.75</v>
      </c>
      <c r="L19" s="13" t="n">
        <v>0.3043</v>
      </c>
      <c r="M19" s="12" t="n">
        <v>68.42</v>
      </c>
      <c r="N19" s="12" t="n">
        <v>97.75</v>
      </c>
      <c r="O19" s="12" t="n">
        <v>0</v>
      </c>
      <c r="P19" s="13" t="n">
        <v>0.3</v>
      </c>
      <c r="Q19" s="9" t="inlineStr">
        <is>
          <t>نسبة مئوية</t>
        </is>
      </c>
      <c r="R19" s="9" t="inlineStr">
        <is>
          <t>wahag promo 30</t>
        </is>
      </c>
      <c r="S19" s="12">
        <f>IF(AA19&gt;0, AA19, J19)</f>
        <v/>
      </c>
      <c r="T19" s="13">
        <f>IF(K19&gt;0, ((K19/1.15)-S19)/(K19/1.15), 0)</f>
        <v/>
      </c>
      <c r="U19" s="12">
        <f>ROUND((S19/0.80)*1.15, 2)</f>
        <v/>
      </c>
      <c r="V19" s="14" t="n">
        <v>12</v>
      </c>
      <c r="W19" s="14" t="n">
        <v>0</v>
      </c>
      <c r="X19" s="11" t="inlineStr">
        <is>
          <t xml:space="preserve"> [901-837] Wahaj Medical Company</t>
        </is>
      </c>
      <c r="Y19" s="12" t="n">
        <v>68</v>
      </c>
      <c r="Z19" s="15" t="n">
        <v>0</v>
      </c>
      <c r="AA19" s="12" t="n">
        <v>68</v>
      </c>
      <c r="AB19" s="16" t="n">
        <v>46092</v>
      </c>
      <c r="AC19" s="16" t="n">
        <v>46097</v>
      </c>
      <c r="AD19" s="14" t="n">
        <v>12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12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12</v>
      </c>
      <c r="CR19" s="14" t="n">
        <v>0</v>
      </c>
      <c r="CS19" s="14" t="n">
        <v>999</v>
      </c>
      <c r="CT19" s="17" t="inlineStr">
        <is>
          <t>راكد</t>
        </is>
      </c>
      <c r="CU19" s="14" t="n">
        <v>0</v>
      </c>
      <c r="CV19" s="12" t="n">
        <v>0</v>
      </c>
      <c r="CW19" s="18" t="inlineStr">
        <is>
          <t>C</t>
        </is>
      </c>
      <c r="CX19" s="9" t="inlineStr">
        <is>
          <t>─</t>
        </is>
      </c>
    </row>
    <row r="20">
      <c r="A20" s="19" t="inlineStr">
        <is>
          <t>4505-848835</t>
        </is>
      </c>
      <c r="B20" s="19" t="inlineStr">
        <is>
          <t>8809371973263</t>
        </is>
      </c>
      <c r="C20" s="20" t="n"/>
      <c r="D20" s="21" t="inlineStr">
        <is>
          <t>DERMAGARDEN AQUA SERUM 60 ml</t>
        </is>
      </c>
      <c r="E20" s="20" t="inlineStr">
        <is>
          <t xml:space="preserve">ديرماجاردن أكوا سيروم 60 مل </t>
        </is>
      </c>
      <c r="F20" s="19" t="inlineStr">
        <is>
          <t>PC</t>
        </is>
      </c>
      <c r="G20" s="20" t="inlineStr">
        <is>
          <t>SG0040-OTHER PRODUCTS, wahag promo 30</t>
        </is>
      </c>
      <c r="H20" s="19" t="inlineStr">
        <is>
          <t>Sales VAT 15%</t>
        </is>
      </c>
      <c r="I20" s="19" t="inlineStr">
        <is>
          <t>PUR Local VAT15%</t>
        </is>
      </c>
      <c r="J20" s="22" t="n">
        <v>60</v>
      </c>
      <c r="K20" s="22" t="n">
        <v>86.25</v>
      </c>
      <c r="L20" s="23" t="n">
        <v>0.3043</v>
      </c>
      <c r="M20" s="22" t="n">
        <v>60.37</v>
      </c>
      <c r="N20" s="22" t="n">
        <v>86.25</v>
      </c>
      <c r="O20" s="22" t="n">
        <v>0</v>
      </c>
      <c r="P20" s="23" t="n">
        <v>0.3</v>
      </c>
      <c r="Q20" s="19" t="inlineStr">
        <is>
          <t>نسبة مئوية</t>
        </is>
      </c>
      <c r="R20" s="19" t="inlineStr">
        <is>
          <t>wahag promo 30</t>
        </is>
      </c>
      <c r="S20" s="22">
        <f>IF(AA20&gt;0, AA20, J20)</f>
        <v/>
      </c>
      <c r="T20" s="23">
        <f>IF(K20&gt;0, ((K20/1.15)-S20)/(K20/1.15), 0)</f>
        <v/>
      </c>
      <c r="U20" s="22">
        <f>ROUND((S20/0.80)*1.15, 2)</f>
        <v/>
      </c>
      <c r="V20" s="24" t="n">
        <v>12</v>
      </c>
      <c r="W20" s="24" t="n">
        <v>0</v>
      </c>
      <c r="X20" s="21" t="inlineStr">
        <is>
          <t xml:space="preserve"> [901-837] Wahaj Medical Company</t>
        </is>
      </c>
      <c r="Y20" s="22" t="n">
        <v>60</v>
      </c>
      <c r="Z20" s="25" t="n">
        <v>0</v>
      </c>
      <c r="AA20" s="22" t="n">
        <v>60</v>
      </c>
      <c r="AB20" s="26" t="n">
        <v>46151</v>
      </c>
      <c r="AC20" s="26" t="n">
        <v>46193</v>
      </c>
      <c r="AD20" s="24" t="n">
        <v>12</v>
      </c>
      <c r="AE20" s="24" t="n">
        <v>0</v>
      </c>
      <c r="AF20" s="24" t="n">
        <v>0</v>
      </c>
      <c r="AG20" s="24" t="n">
        <v>0</v>
      </c>
      <c r="AH20" s="24" t="n">
        <v>0</v>
      </c>
      <c r="AI20" s="24" t="n">
        <v>0</v>
      </c>
      <c r="AJ20" s="24" t="n">
        <v>0</v>
      </c>
      <c r="AK20" s="24" t="n">
        <v>0</v>
      </c>
      <c r="AL20" s="24" t="n">
        <v>0</v>
      </c>
      <c r="AM20" s="24" t="n">
        <v>0</v>
      </c>
      <c r="AN20" s="24" t="n">
        <v>0</v>
      </c>
      <c r="AO20" s="24" t="n">
        <v>0</v>
      </c>
      <c r="AP20" s="24" t="n">
        <v>0</v>
      </c>
      <c r="AQ20" s="24" t="n">
        <v>0</v>
      </c>
      <c r="AR20" s="24" t="n">
        <v>0</v>
      </c>
      <c r="AS20" s="24" t="n">
        <v>0</v>
      </c>
      <c r="AT20" s="24" t="n">
        <v>0</v>
      </c>
      <c r="AU20" s="24" t="n">
        <v>0</v>
      </c>
      <c r="AV20" s="24" t="n">
        <v>0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0</v>
      </c>
      <c r="BO20" s="24" t="n">
        <v>12</v>
      </c>
      <c r="BP20" s="24" t="n">
        <v>0</v>
      </c>
      <c r="BQ20" s="24" t="n">
        <v>0</v>
      </c>
      <c r="BR20" s="24" t="n">
        <v>0</v>
      </c>
      <c r="BS20" s="24" t="n">
        <v>0</v>
      </c>
      <c r="BT20" s="24" t="n">
        <v>0</v>
      </c>
      <c r="BU20" s="24" t="n">
        <v>0</v>
      </c>
      <c r="BV20" s="24" t="n">
        <v>0</v>
      </c>
      <c r="BW20" s="24" t="n">
        <v>0</v>
      </c>
      <c r="BX20" s="24" t="n">
        <v>0</v>
      </c>
      <c r="BY20" s="24" t="n">
        <v>0</v>
      </c>
      <c r="BZ20" s="24" t="n">
        <v>0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0</v>
      </c>
      <c r="CN20" s="24" t="n">
        <v>0</v>
      </c>
      <c r="CO20" s="24" t="n">
        <v>0</v>
      </c>
      <c r="CP20" s="24" t="n">
        <v>0</v>
      </c>
      <c r="CQ20" s="24" t="n">
        <v>12</v>
      </c>
      <c r="CR20" s="24" t="n">
        <v>0</v>
      </c>
      <c r="CS20" s="24" t="n">
        <v>999</v>
      </c>
      <c r="CT20" s="27" t="inlineStr">
        <is>
          <t>راكد</t>
        </is>
      </c>
      <c r="CU20" s="24" t="n">
        <v>0</v>
      </c>
      <c r="CV20" s="22" t="n">
        <v>0</v>
      </c>
      <c r="CW20" s="28" t="inlineStr">
        <is>
          <t>C</t>
        </is>
      </c>
      <c r="CX20" s="19" t="inlineStr">
        <is>
          <t>─</t>
        </is>
      </c>
    </row>
    <row r="21">
      <c r="A21" s="9" t="inlineStr">
        <is>
          <t>4505-848836</t>
        </is>
      </c>
      <c r="B21" s="9" t="inlineStr">
        <is>
          <t>8809371973256</t>
        </is>
      </c>
      <c r="C21" s="10" t="n"/>
      <c r="D21" s="11" t="inlineStr">
        <is>
          <t>DERMAGARDEN VITA C SERUM 60 ml</t>
        </is>
      </c>
      <c r="E21" s="10" t="inlineStr">
        <is>
          <t>ديرماجاردن فيتا سي سيروم 60 مل</t>
        </is>
      </c>
      <c r="F21" s="9" t="inlineStr">
        <is>
          <t>PC</t>
        </is>
      </c>
      <c r="G21" s="10" t="inlineStr">
        <is>
          <t>SG0040-OTHER PRODUCTS, wahag promo 30</t>
        </is>
      </c>
      <c r="H21" s="9" t="inlineStr">
        <is>
          <t>Sales VAT 15%</t>
        </is>
      </c>
      <c r="I21" s="9" t="inlineStr">
        <is>
          <t>PUR Local VAT15%</t>
        </is>
      </c>
      <c r="J21" s="12" t="n">
        <v>62.5</v>
      </c>
      <c r="K21" s="12" t="n">
        <v>89.75</v>
      </c>
      <c r="L21" s="13" t="n">
        <v>0.3036</v>
      </c>
      <c r="M21" s="12" t="n">
        <v>62.82</v>
      </c>
      <c r="N21" s="12" t="n">
        <v>89.75</v>
      </c>
      <c r="O21" s="12" t="n">
        <v>0</v>
      </c>
      <c r="P21" s="13" t="n">
        <v>0.3</v>
      </c>
      <c r="Q21" s="9" t="inlineStr">
        <is>
          <t>نسبة مئوية</t>
        </is>
      </c>
      <c r="R21" s="9" t="inlineStr">
        <is>
          <t>wahag promo 30</t>
        </is>
      </c>
      <c r="S21" s="12">
        <f>IF(AA21&gt;0, AA21, J21)</f>
        <v/>
      </c>
      <c r="T21" s="13">
        <f>IF(K21&gt;0, ((K21/1.15)-S21)/(K21/1.15), 0)</f>
        <v/>
      </c>
      <c r="U21" s="12">
        <f>ROUND((S21/0.80)*1.15, 2)</f>
        <v/>
      </c>
      <c r="V21" s="14" t="n">
        <v>4</v>
      </c>
      <c r="W21" s="14" t="n">
        <v>8</v>
      </c>
      <c r="X21" s="11" t="inlineStr">
        <is>
          <t xml:space="preserve"> [901-837] Wahaj Medical Company</t>
        </is>
      </c>
      <c r="Y21" s="12" t="n">
        <v>62.5</v>
      </c>
      <c r="Z21" s="15" t="n">
        <v>0</v>
      </c>
      <c r="AA21" s="12" t="n">
        <v>62.5</v>
      </c>
      <c r="AB21" s="16" t="n">
        <v>46151</v>
      </c>
      <c r="AC21" s="16" t="n">
        <v>46193</v>
      </c>
      <c r="AD21" s="14" t="n">
        <v>12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</v>
      </c>
      <c r="AL21" s="14" t="n">
        <v>0</v>
      </c>
      <c r="AM21" s="14" t="n">
        <v>0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4</v>
      </c>
      <c r="BP21" s="14" t="n">
        <v>8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4</v>
      </c>
      <c r="CR21" s="14" t="n">
        <v>8</v>
      </c>
      <c r="CS21" s="14" t="n">
        <v>182</v>
      </c>
      <c r="CT21" s="29" t="inlineStr">
        <is>
          <t>فائض المخزون</t>
        </is>
      </c>
      <c r="CU21" s="14" t="n">
        <v>0</v>
      </c>
      <c r="CV21" s="12" t="n">
        <v>0</v>
      </c>
      <c r="CW21" s="31" t="inlineStr">
        <is>
          <t>A</t>
        </is>
      </c>
      <c r="CX21" s="9" t="inlineStr">
        <is>
          <t>─</t>
        </is>
      </c>
    </row>
    <row r="22">
      <c r="A22" s="19" t="inlineStr">
        <is>
          <t>4505-848838</t>
        </is>
      </c>
      <c r="B22" s="19" t="inlineStr">
        <is>
          <t>8809371973270</t>
        </is>
      </c>
      <c r="C22" s="20" t="n"/>
      <c r="D22" s="21" t="inlineStr">
        <is>
          <t>DERMAGARDEN CLEAR SERUM 60 ml</t>
        </is>
      </c>
      <c r="E22" s="20" t="inlineStr">
        <is>
          <t>ديرماجاردن سيرم كلير 60 مل</t>
        </is>
      </c>
      <c r="F22" s="19" t="inlineStr">
        <is>
          <t>PC</t>
        </is>
      </c>
      <c r="G22" s="20" t="inlineStr">
        <is>
          <t>SG0040-OTHER PRODUCTS, wahag promo 30</t>
        </is>
      </c>
      <c r="H22" s="19" t="inlineStr">
        <is>
          <t>Sales VAT 15%</t>
        </is>
      </c>
      <c r="I22" s="19" t="inlineStr">
        <is>
          <t>PUR Local VAT15%</t>
        </is>
      </c>
      <c r="J22" s="22" t="n">
        <v>50</v>
      </c>
      <c r="K22" s="22" t="n">
        <v>71.99000000000001</v>
      </c>
      <c r="L22" s="23" t="n">
        <v>0.3055</v>
      </c>
      <c r="M22" s="22" t="n">
        <v>50.39</v>
      </c>
      <c r="N22" s="22" t="n">
        <v>71.99000000000001</v>
      </c>
      <c r="O22" s="22" t="n">
        <v>0</v>
      </c>
      <c r="P22" s="23" t="n">
        <v>0.3</v>
      </c>
      <c r="Q22" s="19" t="inlineStr">
        <is>
          <t>نسبة مئوية</t>
        </is>
      </c>
      <c r="R22" s="19" t="inlineStr">
        <is>
          <t>wahag promo 30</t>
        </is>
      </c>
      <c r="S22" s="22">
        <f>IF(AA22&gt;0, AA22, J22)</f>
        <v/>
      </c>
      <c r="T22" s="23">
        <f>IF(K22&gt;0, ((K22/1.15)-S22)/(K22/1.15), 0)</f>
        <v/>
      </c>
      <c r="U22" s="22">
        <f>ROUND((S22/0.80)*1.15, 2)</f>
        <v/>
      </c>
      <c r="V22" s="24" t="n">
        <v>12</v>
      </c>
      <c r="W22" s="24" t="n">
        <v>0</v>
      </c>
      <c r="X22" s="21" t="inlineStr">
        <is>
          <t xml:space="preserve"> [901-837] Wahaj Medical Company</t>
        </is>
      </c>
      <c r="Y22" s="22" t="n">
        <v>50</v>
      </c>
      <c r="Z22" s="25" t="n">
        <v>0</v>
      </c>
      <c r="AA22" s="22" t="n">
        <v>50</v>
      </c>
      <c r="AB22" s="26" t="n">
        <v>46092</v>
      </c>
      <c r="AC22" s="26" t="n">
        <v>46097</v>
      </c>
      <c r="AD22" s="24" t="n">
        <v>12</v>
      </c>
      <c r="AE22" s="24" t="n">
        <v>0</v>
      </c>
      <c r="AF22" s="24" t="n">
        <v>0</v>
      </c>
      <c r="AG22" s="24" t="n">
        <v>0</v>
      </c>
      <c r="AH22" s="24" t="n">
        <v>0</v>
      </c>
      <c r="AI22" s="24" t="n">
        <v>0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12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12</v>
      </c>
      <c r="CR22" s="24" t="n">
        <v>0</v>
      </c>
      <c r="CS22" s="24" t="n">
        <v>999</v>
      </c>
      <c r="CT22" s="27" t="inlineStr">
        <is>
          <t>راكد</t>
        </is>
      </c>
      <c r="CU22" s="24" t="n">
        <v>0</v>
      </c>
      <c r="CV22" s="22" t="n">
        <v>0</v>
      </c>
      <c r="CW22" s="28" t="inlineStr">
        <is>
          <t>C</t>
        </is>
      </c>
      <c r="CX22" s="19" t="inlineStr">
        <is>
          <t>─</t>
        </is>
      </c>
    </row>
    <row r="23">
      <c r="A23" s="9" t="inlineStr">
        <is>
          <t>4505-848841</t>
        </is>
      </c>
      <c r="B23" s="9" t="inlineStr">
        <is>
          <t>8809371973300</t>
        </is>
      </c>
      <c r="C23" s="10" t="n"/>
      <c r="D23" s="11" t="inlineStr">
        <is>
          <t>DERMAGARDEN AQUA CREAM 60 gm</t>
        </is>
      </c>
      <c r="E23" s="10" t="inlineStr">
        <is>
          <t>ديرماجاردن أكوا كريم 60 جم</t>
        </is>
      </c>
      <c r="F23" s="9" t="inlineStr">
        <is>
          <t>PC</t>
        </is>
      </c>
      <c r="G23" s="10" t="inlineStr">
        <is>
          <t>SG0040-OTHER PRODUCTS, wahag promo 30</t>
        </is>
      </c>
      <c r="H23" s="9" t="inlineStr">
        <is>
          <t>Sales VAT 15%</t>
        </is>
      </c>
      <c r="I23" s="9" t="inlineStr">
        <is>
          <t>PUR Local VAT15%</t>
        </is>
      </c>
      <c r="J23" s="12" t="n">
        <v>60</v>
      </c>
      <c r="K23" s="12" t="n">
        <v>86.25</v>
      </c>
      <c r="L23" s="13" t="n">
        <v>0.3043</v>
      </c>
      <c r="M23" s="12" t="n">
        <v>60.37</v>
      </c>
      <c r="N23" s="12" t="n">
        <v>86.25</v>
      </c>
      <c r="O23" s="12" t="n">
        <v>0</v>
      </c>
      <c r="P23" s="13" t="n">
        <v>0.3</v>
      </c>
      <c r="Q23" s="9" t="inlineStr">
        <is>
          <t>نسبة مئوية</t>
        </is>
      </c>
      <c r="R23" s="9" t="inlineStr">
        <is>
          <t>wahag promo 30</t>
        </is>
      </c>
      <c r="S23" s="12">
        <f>IF(AA23&gt;0, AA23, J23)</f>
        <v/>
      </c>
      <c r="T23" s="13">
        <f>IF(K23&gt;0, ((K23/1.15)-S23)/(K23/1.15), 0)</f>
        <v/>
      </c>
      <c r="U23" s="12">
        <f>ROUND((S23/0.80)*1.15, 2)</f>
        <v/>
      </c>
      <c r="V23" s="14" t="n">
        <v>12</v>
      </c>
      <c r="W23" s="14" t="n">
        <v>0</v>
      </c>
      <c r="X23" s="11" t="inlineStr">
        <is>
          <t xml:space="preserve"> [901-837] Wahaj Medical Company</t>
        </is>
      </c>
      <c r="Y23" s="12" t="n">
        <v>60</v>
      </c>
      <c r="Z23" s="15" t="n">
        <v>0</v>
      </c>
      <c r="AA23" s="12" t="n">
        <v>60</v>
      </c>
      <c r="AB23" s="16" t="n">
        <v>46151</v>
      </c>
      <c r="AC23" s="16" t="n">
        <v>46193</v>
      </c>
      <c r="AD23" s="14" t="n">
        <v>12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</v>
      </c>
      <c r="AK23" s="14" t="n">
        <v>0</v>
      </c>
      <c r="AL23" s="14" t="n">
        <v>0</v>
      </c>
      <c r="AM23" s="14" t="n">
        <v>0</v>
      </c>
      <c r="AN23" s="14" t="n">
        <v>0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12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12</v>
      </c>
      <c r="CR23" s="14" t="n">
        <v>0</v>
      </c>
      <c r="CS23" s="14" t="n">
        <v>999</v>
      </c>
      <c r="CT23" s="17" t="inlineStr">
        <is>
          <t>راكد</t>
        </is>
      </c>
      <c r="CU23" s="14" t="n">
        <v>0</v>
      </c>
      <c r="CV23" s="12" t="n">
        <v>0</v>
      </c>
      <c r="CW23" s="18" t="inlineStr">
        <is>
          <t>C</t>
        </is>
      </c>
      <c r="CX23" s="9" t="inlineStr">
        <is>
          <t>─</t>
        </is>
      </c>
    </row>
    <row r="24">
      <c r="A24" s="19" t="inlineStr">
        <is>
          <t>4505-848844</t>
        </is>
      </c>
      <c r="B24" s="19" t="inlineStr">
        <is>
          <t>8809371973317</t>
        </is>
      </c>
      <c r="C24" s="20" t="n"/>
      <c r="D24" s="21" t="inlineStr">
        <is>
          <t xml:space="preserve">DERMAGARDEN CLEAR CREAM 50 gm </t>
        </is>
      </c>
      <c r="E24" s="20" t="inlineStr">
        <is>
          <t>ديرماجاردن كريم  كلير  – 50 جم</t>
        </is>
      </c>
      <c r="F24" s="19" t="inlineStr">
        <is>
          <t>PC</t>
        </is>
      </c>
      <c r="G24" s="20" t="inlineStr">
        <is>
          <t>SG0040-OTHER PRODUCTS, wahag promo 30</t>
        </is>
      </c>
      <c r="H24" s="19" t="inlineStr">
        <is>
          <t>Sales VAT 15%</t>
        </is>
      </c>
      <c r="I24" s="19" t="inlineStr">
        <is>
          <t>PUR Local VAT15%</t>
        </is>
      </c>
      <c r="J24" s="22" t="n">
        <v>50</v>
      </c>
      <c r="K24" s="22" t="n">
        <v>71.99000000000001</v>
      </c>
      <c r="L24" s="23" t="n">
        <v>0.3055</v>
      </c>
      <c r="M24" s="22" t="n">
        <v>50.39</v>
      </c>
      <c r="N24" s="22" t="n">
        <v>71.99000000000001</v>
      </c>
      <c r="O24" s="22" t="n">
        <v>0</v>
      </c>
      <c r="P24" s="23" t="n">
        <v>0.3</v>
      </c>
      <c r="Q24" s="19" t="inlineStr">
        <is>
          <t>نسبة مئوية</t>
        </is>
      </c>
      <c r="R24" s="19" t="inlineStr">
        <is>
          <t>wahag promo 30</t>
        </is>
      </c>
      <c r="S24" s="22">
        <f>IF(AA24&gt;0, AA24, J24)</f>
        <v/>
      </c>
      <c r="T24" s="23">
        <f>IF(K24&gt;0, ((K24/1.15)-S24)/(K24/1.15), 0)</f>
        <v/>
      </c>
      <c r="U24" s="22">
        <f>ROUND((S24/0.80)*1.15, 2)</f>
        <v/>
      </c>
      <c r="V24" s="24" t="n">
        <v>7</v>
      </c>
      <c r="W24" s="24" t="n">
        <v>5</v>
      </c>
      <c r="X24" s="21" t="inlineStr">
        <is>
          <t xml:space="preserve"> [901-837] Wahaj Medical Company</t>
        </is>
      </c>
      <c r="Y24" s="22" t="n">
        <v>50</v>
      </c>
      <c r="Z24" s="25" t="n">
        <v>0</v>
      </c>
      <c r="AA24" s="22" t="n">
        <v>50</v>
      </c>
      <c r="AB24" s="26" t="n">
        <v>46092</v>
      </c>
      <c r="AC24" s="26" t="n">
        <v>46097</v>
      </c>
      <c r="AD24" s="24" t="n">
        <v>12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0</v>
      </c>
      <c r="AK24" s="24" t="n">
        <v>0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0</v>
      </c>
      <c r="AQ24" s="24" t="n">
        <v>0</v>
      </c>
      <c r="AR24" s="24" t="n">
        <v>0</v>
      </c>
      <c r="AS24" s="24" t="n">
        <v>0</v>
      </c>
      <c r="AT24" s="24" t="n">
        <v>0</v>
      </c>
      <c r="AU24" s="24" t="n">
        <v>0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7</v>
      </c>
      <c r="BP24" s="24" t="n">
        <v>5</v>
      </c>
      <c r="BQ24" s="24" t="n">
        <v>0</v>
      </c>
      <c r="BR24" s="24" t="n">
        <v>0</v>
      </c>
      <c r="BS24" s="24" t="n">
        <v>0</v>
      </c>
      <c r="BT24" s="24" t="n">
        <v>0</v>
      </c>
      <c r="BU24" s="24" t="n">
        <v>0</v>
      </c>
      <c r="BV24" s="24" t="n">
        <v>0</v>
      </c>
      <c r="BW24" s="24" t="n">
        <v>0</v>
      </c>
      <c r="BX24" s="24" t="n">
        <v>0</v>
      </c>
      <c r="BY24" s="24" t="n">
        <v>0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0</v>
      </c>
      <c r="CN24" s="24" t="n">
        <v>0</v>
      </c>
      <c r="CO24" s="24" t="n">
        <v>0</v>
      </c>
      <c r="CP24" s="24" t="n">
        <v>0</v>
      </c>
      <c r="CQ24" s="24" t="n">
        <v>7</v>
      </c>
      <c r="CR24" s="24" t="n">
        <v>5</v>
      </c>
      <c r="CS24" s="24" t="n">
        <v>511</v>
      </c>
      <c r="CT24" s="30" t="inlineStr">
        <is>
          <t>فائض المخزون</t>
        </is>
      </c>
      <c r="CU24" s="24" t="n">
        <v>0</v>
      </c>
      <c r="CV24" s="22" t="n">
        <v>0</v>
      </c>
      <c r="CW24" s="34" t="inlineStr">
        <is>
          <t>B</t>
        </is>
      </c>
      <c r="CX24" s="19" t="inlineStr">
        <is>
          <t>─</t>
        </is>
      </c>
    </row>
    <row r="25">
      <c r="A25" s="9" t="inlineStr">
        <is>
          <t>4505-848846</t>
        </is>
      </c>
      <c r="B25" s="9" t="inlineStr">
        <is>
          <t>8809371 973454</t>
        </is>
      </c>
      <c r="C25" s="10" t="n"/>
      <c r="D25" s="11" t="inlineStr">
        <is>
          <t>DERMAGARDEN BINGHA SOOTHING COOLING MIST 99 ml</t>
        </is>
      </c>
      <c r="E25" s="10" t="inlineStr">
        <is>
          <t>ديرماجاردن رذاذ تبريد مهدئ  بينشا، 99 مل</t>
        </is>
      </c>
      <c r="F25" s="9" t="inlineStr">
        <is>
          <t>PC</t>
        </is>
      </c>
      <c r="G25" s="10" t="inlineStr">
        <is>
          <t>SG0040-OTHER PRODUCTS, wahag promo 30</t>
        </is>
      </c>
      <c r="H25" s="9" t="inlineStr">
        <is>
          <t>Sales VAT 15%</t>
        </is>
      </c>
      <c r="I25" s="9" t="inlineStr">
        <is>
          <t>PUR Local VAT15%</t>
        </is>
      </c>
      <c r="J25" s="12" t="n">
        <v>62.5</v>
      </c>
      <c r="K25" s="12" t="n">
        <v>89.75</v>
      </c>
      <c r="L25" s="13" t="n">
        <v>0.3036</v>
      </c>
      <c r="M25" s="12" t="n">
        <v>62.82</v>
      </c>
      <c r="N25" s="12" t="n">
        <v>89.75</v>
      </c>
      <c r="O25" s="12" t="n">
        <v>0</v>
      </c>
      <c r="P25" s="13" t="n">
        <v>0.3</v>
      </c>
      <c r="Q25" s="9" t="inlineStr">
        <is>
          <t>نسبة مئوية</t>
        </is>
      </c>
      <c r="R25" s="9" t="inlineStr">
        <is>
          <t>wahag promo 30</t>
        </is>
      </c>
      <c r="S25" s="12">
        <f>IF(AA25&gt;0, AA25, J25)</f>
        <v/>
      </c>
      <c r="T25" s="13">
        <f>IF(K25&gt;0, ((K25/1.15)-S25)/(K25/1.15), 0)</f>
        <v/>
      </c>
      <c r="U25" s="12">
        <f>ROUND((S25/0.80)*1.15, 2)</f>
        <v/>
      </c>
      <c r="V25" s="14" t="n">
        <v>12</v>
      </c>
      <c r="W25" s="14" t="n">
        <v>0</v>
      </c>
      <c r="X25" s="11" t="inlineStr">
        <is>
          <t xml:space="preserve"> [901-837] Wahaj Medical Company</t>
        </is>
      </c>
      <c r="Y25" s="12" t="n">
        <v>62.5</v>
      </c>
      <c r="Z25" s="15" t="n">
        <v>0</v>
      </c>
      <c r="AA25" s="12" t="n">
        <v>62.5</v>
      </c>
      <c r="AB25" s="16" t="n">
        <v>46151</v>
      </c>
      <c r="AC25" s="16" t="n">
        <v>46193</v>
      </c>
      <c r="AD25" s="14" t="n">
        <v>12</v>
      </c>
      <c r="AE25" s="14" t="n">
        <v>0</v>
      </c>
      <c r="AF25" s="14" t="n">
        <v>0</v>
      </c>
      <c r="AG25" s="14" t="n">
        <v>0</v>
      </c>
      <c r="AH25" s="14" t="n">
        <v>0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0</v>
      </c>
      <c r="AO25" s="14" t="n">
        <v>0</v>
      </c>
      <c r="AP25" s="14" t="n">
        <v>0</v>
      </c>
      <c r="AQ25" s="14" t="n">
        <v>0</v>
      </c>
      <c r="AR25" s="14" t="n">
        <v>0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0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</v>
      </c>
      <c r="BN25" s="14" t="n">
        <v>0</v>
      </c>
      <c r="BO25" s="14" t="n">
        <v>12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</v>
      </c>
      <c r="CO25" s="14" t="n">
        <v>0</v>
      </c>
      <c r="CP25" s="14" t="n">
        <v>0</v>
      </c>
      <c r="CQ25" s="14" t="n">
        <v>12</v>
      </c>
      <c r="CR25" s="14" t="n">
        <v>0</v>
      </c>
      <c r="CS25" s="14" t="n">
        <v>999</v>
      </c>
      <c r="CT25" s="17" t="inlineStr">
        <is>
          <t>راكد</t>
        </is>
      </c>
      <c r="CU25" s="14" t="n">
        <v>0</v>
      </c>
      <c r="CV25" s="12" t="n">
        <v>0</v>
      </c>
      <c r="CW25" s="18" t="inlineStr">
        <is>
          <t>C</t>
        </is>
      </c>
      <c r="CX25" s="9" t="inlineStr">
        <is>
          <t>─</t>
        </is>
      </c>
    </row>
    <row r="26">
      <c r="A26" s="19" t="inlineStr">
        <is>
          <t>4505-848847</t>
        </is>
      </c>
      <c r="B26" s="19" t="inlineStr">
        <is>
          <t>8809371973607</t>
        </is>
      </c>
      <c r="C26" s="20" t="n"/>
      <c r="D26" s="21" t="inlineStr">
        <is>
          <t>DERMAGARDEN ENZYME POWDER CLEANSER 60 gm</t>
        </is>
      </c>
      <c r="E26" s="20" t="inlineStr">
        <is>
          <t>ديرماجادين مسحوق منظف إنزيمي 60 جم</t>
        </is>
      </c>
      <c r="F26" s="19" t="inlineStr">
        <is>
          <t>PC</t>
        </is>
      </c>
      <c r="G26" s="20" t="inlineStr">
        <is>
          <t>SG0040-OTHER PRODUCTS, wahag promo 30</t>
        </is>
      </c>
      <c r="H26" s="19" t="inlineStr">
        <is>
          <t>Sales VAT 15%</t>
        </is>
      </c>
      <c r="I26" s="19" t="inlineStr">
        <is>
          <t>PUR Local VAT15%</t>
        </is>
      </c>
      <c r="J26" s="22" t="n">
        <v>65</v>
      </c>
      <c r="K26" s="22" t="n">
        <v>93.5</v>
      </c>
      <c r="L26" s="23" t="n">
        <v>0.3048</v>
      </c>
      <c r="M26" s="22" t="n">
        <v>65.45</v>
      </c>
      <c r="N26" s="22" t="n">
        <v>93.5</v>
      </c>
      <c r="O26" s="22" t="n">
        <v>0</v>
      </c>
      <c r="P26" s="23" t="n">
        <v>0.3</v>
      </c>
      <c r="Q26" s="19" t="inlineStr">
        <is>
          <t>نسبة مئوية</t>
        </is>
      </c>
      <c r="R26" s="19" t="inlineStr">
        <is>
          <t>wahag promo 30</t>
        </is>
      </c>
      <c r="S26" s="22">
        <f>IF(AA26&gt;0, AA26, J26)</f>
        <v/>
      </c>
      <c r="T26" s="23">
        <f>IF(K26&gt;0, ((K26/1.15)-S26)/(K26/1.15), 0)</f>
        <v/>
      </c>
      <c r="U26" s="22">
        <f>ROUND((S26/0.80)*1.15, 2)</f>
        <v/>
      </c>
      <c r="V26" s="24" t="n">
        <v>3</v>
      </c>
      <c r="W26" s="24" t="n">
        <v>9</v>
      </c>
      <c r="X26" s="21" t="inlineStr">
        <is>
          <t xml:space="preserve"> [901-837] Wahaj Medical Company</t>
        </is>
      </c>
      <c r="Y26" s="22" t="n">
        <v>65</v>
      </c>
      <c r="Z26" s="25" t="n">
        <v>0</v>
      </c>
      <c r="AA26" s="22" t="n">
        <v>65</v>
      </c>
      <c r="AB26" s="26" t="n">
        <v>46151</v>
      </c>
      <c r="AC26" s="26" t="n">
        <v>46193</v>
      </c>
      <c r="AD26" s="24" t="n">
        <v>12</v>
      </c>
      <c r="AE26" s="24" t="n">
        <v>0</v>
      </c>
      <c r="AF26" s="24" t="n">
        <v>0</v>
      </c>
      <c r="AG26" s="24" t="n">
        <v>0</v>
      </c>
      <c r="AH26" s="24" t="n">
        <v>0</v>
      </c>
      <c r="AI26" s="24" t="n">
        <v>0</v>
      </c>
      <c r="AJ26" s="24" t="n">
        <v>0</v>
      </c>
      <c r="AK26" s="24" t="n">
        <v>0</v>
      </c>
      <c r="AL26" s="24" t="n">
        <v>0</v>
      </c>
      <c r="AM26" s="24" t="n">
        <v>0</v>
      </c>
      <c r="AN26" s="24" t="n">
        <v>0</v>
      </c>
      <c r="AO26" s="24" t="n">
        <v>0</v>
      </c>
      <c r="AP26" s="24" t="n">
        <v>0</v>
      </c>
      <c r="AQ26" s="24" t="n">
        <v>0</v>
      </c>
      <c r="AR26" s="24" t="n">
        <v>0</v>
      </c>
      <c r="AS26" s="24" t="n">
        <v>0</v>
      </c>
      <c r="AT26" s="24" t="n">
        <v>0</v>
      </c>
      <c r="AU26" s="24" t="n">
        <v>0</v>
      </c>
      <c r="AV26" s="24" t="n">
        <v>0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0</v>
      </c>
      <c r="BO26" s="24" t="n">
        <v>3</v>
      </c>
      <c r="BP26" s="24" t="n">
        <v>9</v>
      </c>
      <c r="BQ26" s="24" t="n">
        <v>0</v>
      </c>
      <c r="BR26" s="24" t="n">
        <v>0</v>
      </c>
      <c r="BS26" s="24" t="n">
        <v>0</v>
      </c>
      <c r="BT26" s="24" t="n">
        <v>0</v>
      </c>
      <c r="BU26" s="24" t="n">
        <v>0</v>
      </c>
      <c r="BV26" s="24" t="n">
        <v>0</v>
      </c>
      <c r="BW26" s="24" t="n">
        <v>0</v>
      </c>
      <c r="BX26" s="24" t="n">
        <v>0</v>
      </c>
      <c r="BY26" s="24" t="n">
        <v>0</v>
      </c>
      <c r="BZ26" s="24" t="n">
        <v>0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0</v>
      </c>
      <c r="CN26" s="24" t="n">
        <v>0</v>
      </c>
      <c r="CO26" s="24" t="n">
        <v>0</v>
      </c>
      <c r="CP26" s="24" t="n">
        <v>0</v>
      </c>
      <c r="CQ26" s="24" t="n">
        <v>3</v>
      </c>
      <c r="CR26" s="24" t="n">
        <v>9</v>
      </c>
      <c r="CS26" s="24" t="n">
        <v>122</v>
      </c>
      <c r="CT26" s="33" t="inlineStr">
        <is>
          <t>متوازن</t>
        </is>
      </c>
      <c r="CU26" s="24" t="n">
        <v>0</v>
      </c>
      <c r="CV26" s="22" t="n">
        <v>0</v>
      </c>
      <c r="CW26" s="32" t="inlineStr">
        <is>
          <t>A</t>
        </is>
      </c>
      <c r="CX26" s="19" t="inlineStr">
        <is>
          <t>─</t>
        </is>
      </c>
    </row>
    <row r="27">
      <c r="A27" s="9" t="inlineStr">
        <is>
          <t>4505-848848</t>
        </is>
      </c>
      <c r="B27" s="9" t="inlineStr">
        <is>
          <t>8809371973591</t>
        </is>
      </c>
      <c r="C27" s="10" t="n"/>
      <c r="D27" s="11" t="inlineStr">
        <is>
          <t xml:space="preserve"> DERMAGARDEN ROSE ESSENCE TONER 150 ml</t>
        </is>
      </c>
      <c r="E27" s="10" t="inlineStr">
        <is>
          <t>ديرماجادين تونر بخلاصة الورد 150 مل</t>
        </is>
      </c>
      <c r="F27" s="9" t="inlineStr">
        <is>
          <t>PC</t>
        </is>
      </c>
      <c r="G27" s="10" t="inlineStr">
        <is>
          <t>SG0040-OTHER PRODUCTS, wahag promo 30</t>
        </is>
      </c>
      <c r="H27" s="9" t="inlineStr">
        <is>
          <t>Sales VAT 15%</t>
        </is>
      </c>
      <c r="I27" s="9" t="inlineStr">
        <is>
          <t>PUR Local VAT15%</t>
        </is>
      </c>
      <c r="J27" s="12" t="n">
        <v>48</v>
      </c>
      <c r="K27" s="12" t="n">
        <v>68.99000000000001</v>
      </c>
      <c r="L27" s="13" t="n">
        <v>0.3042</v>
      </c>
      <c r="M27" s="12" t="n">
        <v>48.29</v>
      </c>
      <c r="N27" s="12" t="n">
        <v>68.99000000000001</v>
      </c>
      <c r="O27" s="12" t="n">
        <v>0</v>
      </c>
      <c r="P27" s="13" t="n">
        <v>0.3</v>
      </c>
      <c r="Q27" s="9" t="inlineStr">
        <is>
          <t>نسبة مئوية</t>
        </is>
      </c>
      <c r="R27" s="9" t="inlineStr">
        <is>
          <t>wahag promo 30</t>
        </is>
      </c>
      <c r="S27" s="12">
        <f>IF(AA27&gt;0, AA27, J27)</f>
        <v/>
      </c>
      <c r="T27" s="13">
        <f>IF(K27&gt;0, ((K27/1.15)-S27)/(K27/1.15), 0)</f>
        <v/>
      </c>
      <c r="U27" s="12">
        <f>ROUND((S27/0.80)*1.15, 2)</f>
        <v/>
      </c>
      <c r="V27" s="14" t="n">
        <v>7</v>
      </c>
      <c r="W27" s="14" t="n">
        <v>5</v>
      </c>
      <c r="X27" s="11" t="inlineStr">
        <is>
          <t xml:space="preserve"> [901-837] Wahaj Medical Company</t>
        </is>
      </c>
      <c r="Y27" s="12" t="n">
        <v>48</v>
      </c>
      <c r="Z27" s="15" t="n">
        <v>0</v>
      </c>
      <c r="AA27" s="12" t="n">
        <v>48</v>
      </c>
      <c r="AB27" s="16" t="n">
        <v>46092</v>
      </c>
      <c r="AC27" s="16" t="n">
        <v>46097</v>
      </c>
      <c r="AD27" s="14" t="n">
        <v>12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7</v>
      </c>
      <c r="BP27" s="14" t="n">
        <v>5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7</v>
      </c>
      <c r="CR27" s="14" t="n">
        <v>5</v>
      </c>
      <c r="CS27" s="14" t="n">
        <v>511</v>
      </c>
      <c r="CT27" s="29" t="inlineStr">
        <is>
          <t>فائض المخزون</t>
        </is>
      </c>
      <c r="CU27" s="14" t="n">
        <v>0</v>
      </c>
      <c r="CV27" s="12" t="n">
        <v>0</v>
      </c>
      <c r="CW27" s="35" t="inlineStr">
        <is>
          <t>B</t>
        </is>
      </c>
      <c r="CX27" s="9" t="inlineStr">
        <is>
          <t>─</t>
        </is>
      </c>
    </row>
    <row r="28">
      <c r="A28" s="19" t="inlineStr">
        <is>
          <t>4505-848849</t>
        </is>
      </c>
      <c r="B28" s="19" t="inlineStr">
        <is>
          <t>8809371973676</t>
        </is>
      </c>
      <c r="C28" s="20" t="n"/>
      <c r="D28" s="21" t="inlineStr">
        <is>
          <t>DERMAGARDEN 3D CELL REPAIR BOOST 50 ml</t>
        </is>
      </c>
      <c r="E28" s="20" t="inlineStr">
        <is>
          <t xml:space="preserve">ديرماجادين  تعزيز إصلاح الخلايا ثلاثية الأبعاد 50 مل </t>
        </is>
      </c>
      <c r="F28" s="19" t="inlineStr">
        <is>
          <t>PC</t>
        </is>
      </c>
      <c r="G28" s="20" t="inlineStr">
        <is>
          <t>SG0040-OTHER PRODUCTS, wahag promo 30</t>
        </is>
      </c>
      <c r="H28" s="19" t="inlineStr">
        <is>
          <t>Sales VAT 15%</t>
        </is>
      </c>
      <c r="I28" s="19" t="inlineStr">
        <is>
          <t>PUR Local VAT15%</t>
        </is>
      </c>
      <c r="J28" s="22" t="n">
        <v>80</v>
      </c>
      <c r="K28" s="22" t="n">
        <v>114.99</v>
      </c>
      <c r="L28" s="23" t="n">
        <v>0.3043</v>
      </c>
      <c r="M28" s="22" t="n">
        <v>80.48999999999999</v>
      </c>
      <c r="N28" s="22" t="n">
        <v>114.99</v>
      </c>
      <c r="O28" s="22" t="n">
        <v>0</v>
      </c>
      <c r="P28" s="23" t="n">
        <v>0.3</v>
      </c>
      <c r="Q28" s="19" t="inlineStr">
        <is>
          <t>نسبة مئوية</t>
        </is>
      </c>
      <c r="R28" s="19" t="inlineStr">
        <is>
          <t>wahag promo 30</t>
        </is>
      </c>
      <c r="S28" s="22">
        <f>IF(AA28&gt;0, AA28, J28)</f>
        <v/>
      </c>
      <c r="T28" s="23">
        <f>IF(K28&gt;0, ((K28/1.15)-S28)/(K28/1.15), 0)</f>
        <v/>
      </c>
      <c r="U28" s="22">
        <f>ROUND((S28/0.80)*1.15, 2)</f>
        <v/>
      </c>
      <c r="V28" s="24" t="n">
        <v>12</v>
      </c>
      <c r="W28" s="24" t="n">
        <v>0</v>
      </c>
      <c r="X28" s="21" t="inlineStr">
        <is>
          <t xml:space="preserve"> [901-837] Wahaj Medical Company</t>
        </is>
      </c>
      <c r="Y28" s="22" t="n">
        <v>80</v>
      </c>
      <c r="Z28" s="25" t="n">
        <v>0</v>
      </c>
      <c r="AA28" s="22" t="n">
        <v>80</v>
      </c>
      <c r="AB28" s="26" t="n">
        <v>46092</v>
      </c>
      <c r="AC28" s="26" t="n">
        <v>46097</v>
      </c>
      <c r="AD28" s="24" t="n">
        <v>12</v>
      </c>
      <c r="AE28" s="24" t="n">
        <v>0</v>
      </c>
      <c r="AF28" s="24" t="n">
        <v>0</v>
      </c>
      <c r="AG28" s="24" t="n">
        <v>0</v>
      </c>
      <c r="AH28" s="24" t="n">
        <v>0</v>
      </c>
      <c r="AI28" s="24" t="n">
        <v>0</v>
      </c>
      <c r="AJ28" s="24" t="n">
        <v>0</v>
      </c>
      <c r="AK28" s="24" t="n">
        <v>0</v>
      </c>
      <c r="AL28" s="24" t="n">
        <v>0</v>
      </c>
      <c r="AM28" s="24" t="n">
        <v>0</v>
      </c>
      <c r="AN28" s="24" t="n">
        <v>0</v>
      </c>
      <c r="AO28" s="24" t="n">
        <v>0</v>
      </c>
      <c r="AP28" s="24" t="n">
        <v>0</v>
      </c>
      <c r="AQ28" s="24" t="n">
        <v>0</v>
      </c>
      <c r="AR28" s="24" t="n">
        <v>0</v>
      </c>
      <c r="AS28" s="24" t="n">
        <v>0</v>
      </c>
      <c r="AT28" s="24" t="n">
        <v>0</v>
      </c>
      <c r="AU28" s="24" t="n">
        <v>0</v>
      </c>
      <c r="AV28" s="24" t="n">
        <v>0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12</v>
      </c>
      <c r="BP28" s="24" t="n">
        <v>0</v>
      </c>
      <c r="BQ28" s="24" t="n">
        <v>0</v>
      </c>
      <c r="BR28" s="24" t="n">
        <v>0</v>
      </c>
      <c r="BS28" s="24" t="n">
        <v>0</v>
      </c>
      <c r="BT28" s="24" t="n">
        <v>0</v>
      </c>
      <c r="BU28" s="24" t="n">
        <v>0</v>
      </c>
      <c r="BV28" s="24" t="n">
        <v>0</v>
      </c>
      <c r="BW28" s="24" t="n">
        <v>0</v>
      </c>
      <c r="BX28" s="24" t="n">
        <v>0</v>
      </c>
      <c r="BY28" s="24" t="n">
        <v>0</v>
      </c>
      <c r="BZ28" s="24" t="n">
        <v>0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0</v>
      </c>
      <c r="CN28" s="24" t="n">
        <v>0</v>
      </c>
      <c r="CO28" s="24" t="n">
        <v>0</v>
      </c>
      <c r="CP28" s="24" t="n">
        <v>0</v>
      </c>
      <c r="CQ28" s="24" t="n">
        <v>12</v>
      </c>
      <c r="CR28" s="24" t="n">
        <v>0</v>
      </c>
      <c r="CS28" s="24" t="n">
        <v>999</v>
      </c>
      <c r="CT28" s="27" t="inlineStr">
        <is>
          <t>راكد</t>
        </is>
      </c>
      <c r="CU28" s="24" t="n">
        <v>0</v>
      </c>
      <c r="CV28" s="22" t="n">
        <v>0</v>
      </c>
      <c r="CW28" s="28" t="inlineStr">
        <is>
          <t>C</t>
        </is>
      </c>
      <c r="CX28" s="19" t="inlineStr">
        <is>
          <t>─</t>
        </is>
      </c>
    </row>
    <row r="29">
      <c r="A29" s="9" t="inlineStr">
        <is>
          <t>4505-848952</t>
        </is>
      </c>
      <c r="B29" s="9" t="inlineStr">
        <is>
          <t>8809371973324</t>
        </is>
      </c>
      <c r="C29" s="10" t="n"/>
      <c r="D29" s="11" t="inlineStr">
        <is>
          <t>Dermagarden Peptide-7 Cream 60 g</t>
        </is>
      </c>
      <c r="E29" s="10" t="inlineStr">
        <is>
          <t>كريم ديرماغاردن ببتيد-7، 60 غرام</t>
        </is>
      </c>
      <c r="F29" s="9" t="inlineStr">
        <is>
          <t>PC</t>
        </is>
      </c>
      <c r="G29" s="10" t="inlineStr">
        <is>
          <t>SG0040-OTHER PRODUCTS, wahag promo 30</t>
        </is>
      </c>
      <c r="H29" s="9" t="inlineStr">
        <is>
          <t>Sales VAT 15%</t>
        </is>
      </c>
      <c r="I29" s="9" t="inlineStr">
        <is>
          <t>PUR Local VAT15%</t>
        </is>
      </c>
      <c r="J29" s="12" t="n">
        <v>54</v>
      </c>
      <c r="K29" s="12" t="n">
        <v>77.75</v>
      </c>
      <c r="L29" s="13" t="n">
        <v>0.3055</v>
      </c>
      <c r="M29" s="12" t="n">
        <v>54.42</v>
      </c>
      <c r="N29" s="12" t="n">
        <v>77.75</v>
      </c>
      <c r="O29" s="12" t="n">
        <v>0</v>
      </c>
      <c r="P29" s="13" t="n">
        <v>0.3</v>
      </c>
      <c r="Q29" s="9" t="inlineStr">
        <is>
          <t>نسبة مئوية</t>
        </is>
      </c>
      <c r="R29" s="9" t="inlineStr">
        <is>
          <t>wahag promo 30</t>
        </is>
      </c>
      <c r="S29" s="12">
        <f>IF(AA29&gt;0, AA29, J29)</f>
        <v/>
      </c>
      <c r="T29" s="13">
        <f>IF(K29&gt;0, ((K29/1.15)-S29)/(K29/1.15), 0)</f>
        <v/>
      </c>
      <c r="U29" s="12">
        <f>ROUND((S29/0.80)*1.15, 2)</f>
        <v/>
      </c>
      <c r="V29" s="14" t="n">
        <v>6</v>
      </c>
      <c r="W29" s="14" t="n">
        <v>6</v>
      </c>
      <c r="X29" s="11" t="inlineStr">
        <is>
          <t xml:space="preserve"> [901-837] Wahaj Medical Company</t>
        </is>
      </c>
      <c r="Y29" s="12" t="n">
        <v>54</v>
      </c>
      <c r="Z29" s="15" t="n">
        <v>0</v>
      </c>
      <c r="AA29" s="12" t="n">
        <v>54</v>
      </c>
      <c r="AB29" s="16" t="n">
        <v>46092</v>
      </c>
      <c r="AC29" s="16" t="n">
        <v>46097</v>
      </c>
      <c r="AD29" s="14" t="n">
        <v>12</v>
      </c>
      <c r="AE29" s="14" t="n">
        <v>0</v>
      </c>
      <c r="AF29" s="14" t="n">
        <v>0</v>
      </c>
      <c r="AG29" s="14" t="n">
        <v>0</v>
      </c>
      <c r="AH29" s="14" t="n">
        <v>0</v>
      </c>
      <c r="AI29" s="14" t="n">
        <v>0</v>
      </c>
      <c r="AJ29" s="14" t="n">
        <v>0</v>
      </c>
      <c r="AK29" s="14" t="n">
        <v>0</v>
      </c>
      <c r="AL29" s="14" t="n">
        <v>0</v>
      </c>
      <c r="AM29" s="14" t="n">
        <v>0</v>
      </c>
      <c r="AN29" s="14" t="n">
        <v>0</v>
      </c>
      <c r="AO29" s="14" t="n">
        <v>0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0</v>
      </c>
      <c r="AU29" s="14" t="n">
        <v>0</v>
      </c>
      <c r="AV29" s="14" t="n">
        <v>0</v>
      </c>
      <c r="AW29" s="14" t="n">
        <v>0</v>
      </c>
      <c r="AX29" s="14" t="n">
        <v>0</v>
      </c>
      <c r="AY29" s="14" t="n">
        <v>0</v>
      </c>
      <c r="AZ29" s="14" t="n">
        <v>0</v>
      </c>
      <c r="BA29" s="14" t="n">
        <v>0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</v>
      </c>
      <c r="BI29" s="14" t="n">
        <v>0</v>
      </c>
      <c r="BJ29" s="14" t="n">
        <v>0</v>
      </c>
      <c r="BK29" s="14" t="n">
        <v>0</v>
      </c>
      <c r="BL29" s="14" t="n">
        <v>0</v>
      </c>
      <c r="BM29" s="14" t="n">
        <v>0</v>
      </c>
      <c r="BN29" s="14" t="n">
        <v>0</v>
      </c>
      <c r="BO29" s="14" t="n">
        <v>6</v>
      </c>
      <c r="BP29" s="14" t="n">
        <v>6</v>
      </c>
      <c r="BQ29" s="14" t="n">
        <v>0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</v>
      </c>
      <c r="BZ29" s="14" t="n">
        <v>0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</v>
      </c>
      <c r="CK29" s="14" t="n">
        <v>0</v>
      </c>
      <c r="CL29" s="14" t="n">
        <v>0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6</v>
      </c>
      <c r="CR29" s="14" t="n">
        <v>6</v>
      </c>
      <c r="CS29" s="14" t="n">
        <v>365</v>
      </c>
      <c r="CT29" s="29" t="inlineStr">
        <is>
          <t>فائض المخزون</t>
        </is>
      </c>
      <c r="CU29" s="14" t="n">
        <v>0</v>
      </c>
      <c r="CV29" s="12" t="n">
        <v>0</v>
      </c>
      <c r="CW29" s="31" t="inlineStr">
        <is>
          <t>A</t>
        </is>
      </c>
      <c r="CX29" s="9" t="inlineStr">
        <is>
          <t>─</t>
        </is>
      </c>
    </row>
    <row r="30">
      <c r="A30" s="19" t="inlineStr">
        <is>
          <t>4505-848953</t>
        </is>
      </c>
      <c r="B30" s="19" t="inlineStr">
        <is>
          <t>8809371973287</t>
        </is>
      </c>
      <c r="C30" s="20" t="n"/>
      <c r="D30" s="21" t="inlineStr">
        <is>
          <t>Dermagarden Peptide-7 Serum 60 ml</t>
        </is>
      </c>
      <c r="E30" s="20" t="inlineStr">
        <is>
          <t>ديرماجاردن سيروم الببتيد-7 60 مل</t>
        </is>
      </c>
      <c r="F30" s="19" t="inlineStr">
        <is>
          <t>PC</t>
        </is>
      </c>
      <c r="G30" s="20" t="inlineStr">
        <is>
          <t>SG0040-OTHER PRODUCTS, wahag promo 30</t>
        </is>
      </c>
      <c r="H30" s="19" t="inlineStr">
        <is>
          <t>Sales VAT 15%</t>
        </is>
      </c>
      <c r="I30" s="19" t="inlineStr">
        <is>
          <t>PUR Local VAT15%</t>
        </is>
      </c>
      <c r="J30" s="22" t="n">
        <v>56</v>
      </c>
      <c r="K30" s="22" t="n">
        <v>80.5</v>
      </c>
      <c r="L30" s="23" t="n">
        <v>0.3043</v>
      </c>
      <c r="M30" s="22" t="n">
        <v>56.35</v>
      </c>
      <c r="N30" s="22" t="n">
        <v>80.5</v>
      </c>
      <c r="O30" s="22" t="n">
        <v>0</v>
      </c>
      <c r="P30" s="23" t="n">
        <v>0.3</v>
      </c>
      <c r="Q30" s="19" t="inlineStr">
        <is>
          <t>نسبة مئوية</t>
        </is>
      </c>
      <c r="R30" s="19" t="inlineStr">
        <is>
          <t>wahag promo 30</t>
        </is>
      </c>
      <c r="S30" s="22">
        <f>IF(AA30&gt;0, AA30, J30)</f>
        <v/>
      </c>
      <c r="T30" s="23">
        <f>IF(K30&gt;0, ((K30/1.15)-S30)/(K30/1.15), 0)</f>
        <v/>
      </c>
      <c r="U30" s="22">
        <f>ROUND((S30/0.80)*1.15, 2)</f>
        <v/>
      </c>
      <c r="V30" s="24" t="n">
        <v>10</v>
      </c>
      <c r="W30" s="24" t="n">
        <v>2</v>
      </c>
      <c r="X30" s="21" t="inlineStr">
        <is>
          <t xml:space="preserve"> [901-837] Wahaj Medical Company</t>
        </is>
      </c>
      <c r="Y30" s="22" t="n">
        <v>56</v>
      </c>
      <c r="Z30" s="25" t="n">
        <v>0</v>
      </c>
      <c r="AA30" s="22" t="n">
        <v>56</v>
      </c>
      <c r="AB30" s="26" t="n">
        <v>46092</v>
      </c>
      <c r="AC30" s="26" t="n">
        <v>46097</v>
      </c>
      <c r="AD30" s="24" t="n">
        <v>12</v>
      </c>
      <c r="AE30" s="24" t="n">
        <v>0</v>
      </c>
      <c r="AF30" s="24" t="n">
        <v>0</v>
      </c>
      <c r="AG30" s="24" t="n">
        <v>0</v>
      </c>
      <c r="AH30" s="24" t="n">
        <v>0</v>
      </c>
      <c r="AI30" s="24" t="n">
        <v>0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10</v>
      </c>
      <c r="BP30" s="24" t="n">
        <v>2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10</v>
      </c>
      <c r="CR30" s="24" t="n">
        <v>2</v>
      </c>
      <c r="CS30" s="24" t="n">
        <v>1825</v>
      </c>
      <c r="CT30" s="30" t="inlineStr">
        <is>
          <t>فائض المخزون</t>
        </is>
      </c>
      <c r="CU30" s="24" t="n">
        <v>0</v>
      </c>
      <c r="CV30" s="22" t="n">
        <v>0</v>
      </c>
      <c r="CW30" s="28" t="inlineStr">
        <is>
          <t>C</t>
        </is>
      </c>
      <c r="CX30" s="19" t="inlineStr">
        <is>
          <t>─</t>
        </is>
      </c>
    </row>
    <row r="31">
      <c r="A31" s="9" t="inlineStr">
        <is>
          <t>4505-848954</t>
        </is>
      </c>
      <c r="B31" s="9" t="inlineStr">
        <is>
          <t>8809371973461</t>
        </is>
      </c>
      <c r="C31" s="10" t="n"/>
      <c r="D31" s="11" t="inlineStr">
        <is>
          <t>Dermagarden Snail 97.1 Serum 60 ml</t>
        </is>
      </c>
      <c r="E31" s="10" t="inlineStr">
        <is>
          <t>ديرماجاردن سيروم الحلزون 97.1 60 مل</t>
        </is>
      </c>
      <c r="F31" s="9" t="inlineStr">
        <is>
          <t>PC</t>
        </is>
      </c>
      <c r="G31" s="10" t="inlineStr">
        <is>
          <t>SG0040-OTHER PRODUCTS, wahag promo 30</t>
        </is>
      </c>
      <c r="H31" s="9" t="inlineStr">
        <is>
          <t>Sales VAT 15%</t>
        </is>
      </c>
      <c r="I31" s="9" t="inlineStr">
        <is>
          <t>PUR Local VAT15%</t>
        </is>
      </c>
      <c r="J31" s="12" t="n">
        <v>50</v>
      </c>
      <c r="K31" s="12" t="n">
        <v>71.99000000000001</v>
      </c>
      <c r="L31" s="13" t="n">
        <v>0.3055</v>
      </c>
      <c r="M31" s="12" t="n">
        <v>50.39</v>
      </c>
      <c r="N31" s="12" t="n">
        <v>71.99000000000001</v>
      </c>
      <c r="O31" s="12" t="n">
        <v>0</v>
      </c>
      <c r="P31" s="13" t="n">
        <v>0.3</v>
      </c>
      <c r="Q31" s="9" t="inlineStr">
        <is>
          <t>نسبة مئوية</t>
        </is>
      </c>
      <c r="R31" s="9" t="inlineStr">
        <is>
          <t>wahag promo 30</t>
        </is>
      </c>
      <c r="S31" s="12">
        <f>IF(AA31&gt;0, AA31, J31)</f>
        <v/>
      </c>
      <c r="T31" s="13">
        <f>IF(K31&gt;0, ((K31/1.15)-S31)/(K31/1.15), 0)</f>
        <v/>
      </c>
      <c r="U31" s="12">
        <f>ROUND((S31/0.80)*1.15, 2)</f>
        <v/>
      </c>
      <c r="V31" s="14" t="n">
        <v>11</v>
      </c>
      <c r="W31" s="14" t="n">
        <v>1</v>
      </c>
      <c r="X31" s="11" t="inlineStr">
        <is>
          <t xml:space="preserve"> [901-837] Wahaj Medical Company</t>
        </is>
      </c>
      <c r="Y31" s="12" t="n">
        <v>50</v>
      </c>
      <c r="Z31" s="15" t="n">
        <v>0</v>
      </c>
      <c r="AA31" s="12" t="n">
        <v>50</v>
      </c>
      <c r="AB31" s="16" t="n">
        <v>46092</v>
      </c>
      <c r="AC31" s="16" t="n">
        <v>46097</v>
      </c>
      <c r="AD31" s="14" t="n">
        <v>12</v>
      </c>
      <c r="AE31" s="14" t="n">
        <v>0</v>
      </c>
      <c r="AF31" s="14" t="n">
        <v>0</v>
      </c>
      <c r="AG31" s="14" t="n">
        <v>0</v>
      </c>
      <c r="AH31" s="14" t="n">
        <v>0</v>
      </c>
      <c r="AI31" s="14" t="n">
        <v>0</v>
      </c>
      <c r="AJ31" s="14" t="n">
        <v>0</v>
      </c>
      <c r="AK31" s="14" t="n">
        <v>0</v>
      </c>
      <c r="AL31" s="14" t="n">
        <v>0</v>
      </c>
      <c r="AM31" s="14" t="n">
        <v>0</v>
      </c>
      <c r="AN31" s="14" t="n">
        <v>0</v>
      </c>
      <c r="AO31" s="14" t="n">
        <v>0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0</v>
      </c>
      <c r="AU31" s="14" t="n">
        <v>0</v>
      </c>
      <c r="AV31" s="14" t="n">
        <v>0</v>
      </c>
      <c r="AW31" s="14" t="n">
        <v>0</v>
      </c>
      <c r="AX31" s="14" t="n">
        <v>0</v>
      </c>
      <c r="AY31" s="14" t="n">
        <v>0</v>
      </c>
      <c r="AZ31" s="14" t="n">
        <v>0</v>
      </c>
      <c r="BA31" s="14" t="n">
        <v>0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</v>
      </c>
      <c r="BI31" s="14" t="n">
        <v>0</v>
      </c>
      <c r="BJ31" s="14" t="n">
        <v>0</v>
      </c>
      <c r="BK31" s="14" t="n">
        <v>0</v>
      </c>
      <c r="BL31" s="14" t="n">
        <v>0</v>
      </c>
      <c r="BM31" s="14" t="n">
        <v>0</v>
      </c>
      <c r="BN31" s="14" t="n">
        <v>0</v>
      </c>
      <c r="BO31" s="14" t="n">
        <v>11</v>
      </c>
      <c r="BP31" s="14" t="n">
        <v>1</v>
      </c>
      <c r="BQ31" s="14" t="n">
        <v>0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</v>
      </c>
      <c r="BZ31" s="14" t="n">
        <v>0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</v>
      </c>
      <c r="CK31" s="14" t="n">
        <v>0</v>
      </c>
      <c r="CL31" s="14" t="n">
        <v>0</v>
      </c>
      <c r="CM31" s="14" t="n">
        <v>0</v>
      </c>
      <c r="CN31" s="14" t="n">
        <v>0</v>
      </c>
      <c r="CO31" s="14" t="n">
        <v>0</v>
      </c>
      <c r="CP31" s="14" t="n">
        <v>0</v>
      </c>
      <c r="CQ31" s="14" t="n">
        <v>11</v>
      </c>
      <c r="CR31" s="14" t="n">
        <v>1</v>
      </c>
      <c r="CS31" s="14" t="n">
        <v>4015</v>
      </c>
      <c r="CT31" s="29" t="inlineStr">
        <is>
          <t>فائض المخزون</t>
        </is>
      </c>
      <c r="CU31" s="14" t="n">
        <v>0</v>
      </c>
      <c r="CV31" s="12" t="n">
        <v>0</v>
      </c>
      <c r="CW31" s="18" t="inlineStr">
        <is>
          <t>C</t>
        </is>
      </c>
      <c r="CX31" s="9" t="inlineStr">
        <is>
          <t>─</t>
        </is>
      </c>
    </row>
    <row r="32">
      <c r="A32" s="19" t="inlineStr">
        <is>
          <t>4505-848955</t>
        </is>
      </c>
      <c r="B32" s="19" t="inlineStr">
        <is>
          <t>8809371973294</t>
        </is>
      </c>
      <c r="C32" s="20" t="n"/>
      <c r="D32" s="21" t="inlineStr">
        <is>
          <t>Derma Garden Vitamin C Vita Allantoin Cream 50g</t>
        </is>
      </c>
      <c r="E32" s="20" t="inlineStr">
        <is>
          <t>ديرما جاردن كريم فيتامين C فيتا الألانتوين  50 جرام</t>
        </is>
      </c>
      <c r="F32" s="19" t="inlineStr">
        <is>
          <t>PC</t>
        </is>
      </c>
      <c r="G32" s="20" t="inlineStr">
        <is>
          <t>SG0040-OTHER PRODUCTS, wahag promo 30</t>
        </is>
      </c>
      <c r="H32" s="19" t="inlineStr">
        <is>
          <t>Sales VAT 15%</t>
        </is>
      </c>
      <c r="I32" s="19" t="inlineStr">
        <is>
          <t>PUR Local VAT15%</t>
        </is>
      </c>
      <c r="J32" s="22" t="n">
        <v>50</v>
      </c>
      <c r="K32" s="22" t="n">
        <v>71.99000000000001</v>
      </c>
      <c r="L32" s="23" t="n">
        <v>0.3055</v>
      </c>
      <c r="M32" s="22" t="n">
        <v>50.39</v>
      </c>
      <c r="N32" s="22" t="n">
        <v>71.99000000000001</v>
      </c>
      <c r="O32" s="22" t="n">
        <v>0</v>
      </c>
      <c r="P32" s="23" t="n">
        <v>0.3</v>
      </c>
      <c r="Q32" s="19" t="inlineStr">
        <is>
          <t>نسبة مئوية</t>
        </is>
      </c>
      <c r="R32" s="19" t="inlineStr">
        <is>
          <t>wahag promo 30</t>
        </is>
      </c>
      <c r="S32" s="22">
        <f>IF(AA32&gt;0, AA32, J32)</f>
        <v/>
      </c>
      <c r="T32" s="23">
        <f>IF(K32&gt;0, ((K32/1.15)-S32)/(K32/1.15), 0)</f>
        <v/>
      </c>
      <c r="U32" s="22">
        <f>ROUND((S32/0.80)*1.15, 2)</f>
        <v/>
      </c>
      <c r="V32" s="24" t="n">
        <v>8</v>
      </c>
      <c r="W32" s="24" t="n">
        <v>4</v>
      </c>
      <c r="X32" s="21" t="inlineStr">
        <is>
          <t xml:space="preserve"> [901-837] Wahaj Medical Company</t>
        </is>
      </c>
      <c r="Y32" s="22" t="n">
        <v>50</v>
      </c>
      <c r="Z32" s="25" t="n">
        <v>0</v>
      </c>
      <c r="AA32" s="22" t="n">
        <v>50</v>
      </c>
      <c r="AB32" s="26" t="n">
        <v>46092</v>
      </c>
      <c r="AC32" s="26" t="n">
        <v>46097</v>
      </c>
      <c r="AD32" s="24" t="n">
        <v>12</v>
      </c>
      <c r="AE32" s="24" t="n">
        <v>0</v>
      </c>
      <c r="AF32" s="24" t="n">
        <v>0</v>
      </c>
      <c r="AG32" s="24" t="n">
        <v>0</v>
      </c>
      <c r="AH32" s="24" t="n">
        <v>0</v>
      </c>
      <c r="AI32" s="24" t="n">
        <v>0</v>
      </c>
      <c r="AJ32" s="24" t="n">
        <v>0</v>
      </c>
      <c r="AK32" s="24" t="n">
        <v>0</v>
      </c>
      <c r="AL32" s="24" t="n">
        <v>0</v>
      </c>
      <c r="AM32" s="24" t="n">
        <v>0</v>
      </c>
      <c r="AN32" s="24" t="n">
        <v>0</v>
      </c>
      <c r="AO32" s="24" t="n">
        <v>0</v>
      </c>
      <c r="AP32" s="24" t="n">
        <v>0</v>
      </c>
      <c r="AQ32" s="24" t="n">
        <v>0</v>
      </c>
      <c r="AR32" s="24" t="n">
        <v>0</v>
      </c>
      <c r="AS32" s="24" t="n">
        <v>0</v>
      </c>
      <c r="AT32" s="24" t="n">
        <v>0</v>
      </c>
      <c r="AU32" s="24" t="n">
        <v>0</v>
      </c>
      <c r="AV32" s="24" t="n">
        <v>0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8</v>
      </c>
      <c r="BP32" s="24" t="n">
        <v>4</v>
      </c>
      <c r="BQ32" s="24" t="n">
        <v>0</v>
      </c>
      <c r="BR32" s="24" t="n">
        <v>0</v>
      </c>
      <c r="BS32" s="24" t="n">
        <v>0</v>
      </c>
      <c r="BT32" s="24" t="n">
        <v>0</v>
      </c>
      <c r="BU32" s="24" t="n">
        <v>0</v>
      </c>
      <c r="BV32" s="24" t="n">
        <v>0</v>
      </c>
      <c r="BW32" s="24" t="n">
        <v>0</v>
      </c>
      <c r="BX32" s="24" t="n">
        <v>0</v>
      </c>
      <c r="BY32" s="24" t="n">
        <v>0</v>
      </c>
      <c r="BZ32" s="24" t="n">
        <v>0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0</v>
      </c>
      <c r="CN32" s="24" t="n">
        <v>0</v>
      </c>
      <c r="CO32" s="24" t="n">
        <v>0</v>
      </c>
      <c r="CP32" s="24" t="n">
        <v>0</v>
      </c>
      <c r="CQ32" s="24" t="n">
        <v>8</v>
      </c>
      <c r="CR32" s="24" t="n">
        <v>4</v>
      </c>
      <c r="CS32" s="24" t="n">
        <v>730</v>
      </c>
      <c r="CT32" s="30" t="inlineStr">
        <is>
          <t>فائض المخزون</t>
        </is>
      </c>
      <c r="CU32" s="24" t="n">
        <v>0</v>
      </c>
      <c r="CV32" s="22" t="n">
        <v>0</v>
      </c>
      <c r="CW32" s="34" t="inlineStr">
        <is>
          <t>B</t>
        </is>
      </c>
      <c r="CX32" s="19" t="inlineStr">
        <is>
          <t>─</t>
        </is>
      </c>
    </row>
    <row r="33" ht="22" customHeight="1">
      <c r="A33" s="36">
        <f>SUBTOTAL(103, A3:A32)</f>
        <v/>
      </c>
      <c r="B33" s="37" t="n"/>
      <c r="C33" s="38" t="n"/>
      <c r="D33" s="39" t="n"/>
      <c r="E33" s="38" t="inlineStr">
        <is>
          <t>▶ الإجماليات</t>
        </is>
      </c>
      <c r="F33" s="37" t="n"/>
      <c r="G33" s="38" t="n"/>
      <c r="H33" s="37" t="n"/>
      <c r="I33" s="37" t="n"/>
      <c r="J33" s="38" t="n"/>
      <c r="K33" s="38" t="n"/>
      <c r="L33" s="37" t="n"/>
      <c r="M33" s="38" t="n"/>
      <c r="N33" s="38" t="n"/>
      <c r="O33" s="38" t="n"/>
      <c r="P33" s="37" t="n"/>
      <c r="Q33" s="37" t="n"/>
      <c r="R33" s="37" t="n"/>
      <c r="S33" s="38" t="n"/>
      <c r="T33" s="37" t="n"/>
      <c r="U33" s="38" t="n"/>
      <c r="V33" s="36">
        <f>SUBTOTAL(9, V3:V32)</f>
        <v/>
      </c>
      <c r="W33" s="36">
        <f>SUBTOTAL(9, W3:W32)</f>
        <v/>
      </c>
      <c r="X33" s="39" t="n"/>
      <c r="Y33" s="38" t="n"/>
      <c r="Z33" s="37" t="n"/>
      <c r="AA33" s="38" t="n"/>
      <c r="AB33" s="37" t="n"/>
      <c r="AC33" s="37" t="n"/>
      <c r="AD33" s="36">
        <f>SUBTOTAL(9, AD3:AD32)</f>
        <v/>
      </c>
      <c r="AE33" s="36">
        <f>SUBTOTAL(9, AE3:AE32)</f>
        <v/>
      </c>
      <c r="AF33" s="36">
        <f>SUBTOTAL(9, AF3:AF32)</f>
        <v/>
      </c>
      <c r="AG33" s="36">
        <f>SUBTOTAL(9, AG3:AG32)</f>
        <v/>
      </c>
      <c r="AH33" s="36">
        <f>SUBTOTAL(9, AH3:AH32)</f>
        <v/>
      </c>
      <c r="AI33" s="36">
        <f>SUBTOTAL(9, AI3:AI32)</f>
        <v/>
      </c>
      <c r="AJ33" s="36">
        <f>SUBTOTAL(9, AJ3:AJ32)</f>
        <v/>
      </c>
      <c r="AK33" s="36">
        <f>SUBTOTAL(9, AK3:AK32)</f>
        <v/>
      </c>
      <c r="AL33" s="36">
        <f>SUBTOTAL(9, AL3:AL32)</f>
        <v/>
      </c>
      <c r="AM33" s="36">
        <f>SUBTOTAL(9, AM3:AM32)</f>
        <v/>
      </c>
      <c r="AN33" s="36">
        <f>SUBTOTAL(9, AN3:AN32)</f>
        <v/>
      </c>
      <c r="AO33" s="36">
        <f>SUBTOTAL(9, AO3:AO32)</f>
        <v/>
      </c>
      <c r="AP33" s="36">
        <f>SUBTOTAL(9, AP3:AP32)</f>
        <v/>
      </c>
      <c r="AQ33" s="36">
        <f>SUBTOTAL(9, AQ3:AQ32)</f>
        <v/>
      </c>
      <c r="AR33" s="36">
        <f>SUBTOTAL(9, AR3:AR32)</f>
        <v/>
      </c>
      <c r="AS33" s="36">
        <f>SUBTOTAL(9, AS3:AS32)</f>
        <v/>
      </c>
      <c r="AT33" s="36">
        <f>SUBTOTAL(9, AT3:AT32)</f>
        <v/>
      </c>
      <c r="AU33" s="36">
        <f>SUBTOTAL(9, AU3:AU32)</f>
        <v/>
      </c>
      <c r="AV33" s="36">
        <f>SUBTOTAL(9, AV3:AV32)</f>
        <v/>
      </c>
      <c r="AW33" s="36">
        <f>SUBTOTAL(9, AW3:AW32)</f>
        <v/>
      </c>
      <c r="AX33" s="36">
        <f>SUBTOTAL(9, AX3:AX32)</f>
        <v/>
      </c>
      <c r="AY33" s="36">
        <f>SUBTOTAL(9, AY3:AY32)</f>
        <v/>
      </c>
      <c r="AZ33" s="36">
        <f>SUBTOTAL(9, AZ3:AZ32)</f>
        <v/>
      </c>
      <c r="BA33" s="36">
        <f>SUBTOTAL(9, BA3:BA32)</f>
        <v/>
      </c>
      <c r="BB33" s="36">
        <f>SUBTOTAL(9, BB3:BB32)</f>
        <v/>
      </c>
      <c r="BC33" s="36">
        <f>SUBTOTAL(9, BC3:BC32)</f>
        <v/>
      </c>
      <c r="BD33" s="36">
        <f>SUBTOTAL(9, BD3:BD32)</f>
        <v/>
      </c>
      <c r="BE33" s="36">
        <f>SUBTOTAL(9, BE3:BE32)</f>
        <v/>
      </c>
      <c r="BF33" s="36">
        <f>SUBTOTAL(9, BF3:BF32)</f>
        <v/>
      </c>
      <c r="BG33" s="36">
        <f>SUBTOTAL(9, BG3:BG32)</f>
        <v/>
      </c>
      <c r="BH33" s="36">
        <f>SUBTOTAL(9, BH3:BH32)</f>
        <v/>
      </c>
      <c r="BI33" s="36">
        <f>SUBTOTAL(9, BI3:BI32)</f>
        <v/>
      </c>
      <c r="BJ33" s="36">
        <f>SUBTOTAL(9, BJ3:BJ32)</f>
        <v/>
      </c>
      <c r="BK33" s="36">
        <f>SUBTOTAL(9, BK3:BK32)</f>
        <v/>
      </c>
      <c r="BL33" s="36">
        <f>SUBTOTAL(9, BL3:BL32)</f>
        <v/>
      </c>
      <c r="BM33" s="36">
        <f>SUBTOTAL(9, BM3:BM32)</f>
        <v/>
      </c>
      <c r="BN33" s="36">
        <f>SUBTOTAL(9, BN3:BN32)</f>
        <v/>
      </c>
      <c r="BO33" s="36">
        <f>SUBTOTAL(9, BO3:BO32)</f>
        <v/>
      </c>
      <c r="BP33" s="36">
        <f>SUBTOTAL(9, BP3:BP32)</f>
        <v/>
      </c>
      <c r="BQ33" s="36">
        <f>SUBTOTAL(9, BQ3:BQ32)</f>
        <v/>
      </c>
      <c r="BR33" s="36">
        <f>SUBTOTAL(9, BR3:BR32)</f>
        <v/>
      </c>
      <c r="BS33" s="36">
        <f>SUBTOTAL(9, BS3:BS32)</f>
        <v/>
      </c>
      <c r="BT33" s="36">
        <f>SUBTOTAL(9, BT3:BT32)</f>
        <v/>
      </c>
      <c r="BU33" s="36">
        <f>SUBTOTAL(9, BU3:BU32)</f>
        <v/>
      </c>
      <c r="BV33" s="36">
        <f>SUBTOTAL(9, BV3:BV32)</f>
        <v/>
      </c>
      <c r="BW33" s="36">
        <f>SUBTOTAL(9, BW3:BW32)</f>
        <v/>
      </c>
      <c r="BX33" s="36">
        <f>SUBTOTAL(9, BX3:BX32)</f>
        <v/>
      </c>
      <c r="BY33" s="36">
        <f>SUBTOTAL(9, BY3:BY32)</f>
        <v/>
      </c>
      <c r="BZ33" s="36">
        <f>SUBTOTAL(9, BZ3:BZ32)</f>
        <v/>
      </c>
      <c r="CA33" s="36">
        <f>SUBTOTAL(9, CA3:CA32)</f>
        <v/>
      </c>
      <c r="CB33" s="36">
        <f>SUBTOTAL(9, CB3:CB32)</f>
        <v/>
      </c>
      <c r="CC33" s="36">
        <f>SUBTOTAL(9, CC3:CC32)</f>
        <v/>
      </c>
      <c r="CD33" s="36">
        <f>SUBTOTAL(9, CD3:CD32)</f>
        <v/>
      </c>
      <c r="CE33" s="36">
        <f>SUBTOTAL(9, CE3:CE32)</f>
        <v/>
      </c>
      <c r="CF33" s="36">
        <f>SUBTOTAL(9, CF3:CF32)</f>
        <v/>
      </c>
      <c r="CG33" s="36">
        <f>SUBTOTAL(9, CG3:CG32)</f>
        <v/>
      </c>
      <c r="CH33" s="36">
        <f>SUBTOTAL(9, CH3:CH32)</f>
        <v/>
      </c>
      <c r="CI33" s="36">
        <f>SUBTOTAL(9, CI3:CI32)</f>
        <v/>
      </c>
      <c r="CJ33" s="36">
        <f>SUBTOTAL(9, CJ3:CJ32)</f>
        <v/>
      </c>
      <c r="CK33" s="36">
        <f>SUBTOTAL(9, CK3:CK32)</f>
        <v/>
      </c>
      <c r="CL33" s="36">
        <f>SUBTOTAL(9, CL3:CL32)</f>
        <v/>
      </c>
      <c r="CM33" s="36">
        <f>SUBTOTAL(9, CM3:CM32)</f>
        <v/>
      </c>
      <c r="CN33" s="36">
        <f>SUBTOTAL(9, CN3:CN32)</f>
        <v/>
      </c>
      <c r="CO33" s="36">
        <f>SUBTOTAL(9, CO3:CO32)</f>
        <v/>
      </c>
      <c r="CP33" s="36">
        <f>SUBTOTAL(9, CP3:CP32)</f>
        <v/>
      </c>
      <c r="CQ33" s="36">
        <f>SUBTOTAL(9, CQ3:CQ32)</f>
        <v/>
      </c>
      <c r="CR33" s="36">
        <f>SUBTOTAL(9, CR3:CR32)</f>
        <v/>
      </c>
      <c r="CS33" s="37" t="n"/>
      <c r="CT33" s="37" t="n"/>
      <c r="CU33" s="36">
        <f>SUBTOTAL(9, CU3:CU32)</f>
        <v/>
      </c>
      <c r="CV33" s="40">
        <f>SUBTOTAL(9, CV3:CV32)</f>
        <v/>
      </c>
      <c r="CW33" s="37" t="n"/>
      <c r="CX33" s="37" t="n"/>
    </row>
  </sheetData>
  <mergeCells count="70">
    <mergeCell ref="BY1:BZ1"/>
    <mergeCell ref="AB1:AB2"/>
    <mergeCell ref="AD1:AD2"/>
    <mergeCell ref="AG1:AH1"/>
    <mergeCell ref="CU1:CU2"/>
    <mergeCell ref="AI1:AJ1"/>
    <mergeCell ref="CW1:CW2"/>
    <mergeCell ref="CI1:CJ1"/>
    <mergeCell ref="C1:C2"/>
    <mergeCell ref="AS1:AT1"/>
    <mergeCell ref="CA1:CB1"/>
    <mergeCell ref="E1:E2"/>
    <mergeCell ref="K1:K2"/>
    <mergeCell ref="V1:V2"/>
    <mergeCell ref="AU1:AV1"/>
    <mergeCell ref="M1:M2"/>
    <mergeCell ref="CC1:CD1"/>
    <mergeCell ref="O1:O2"/>
    <mergeCell ref="CK1:CL1"/>
    <mergeCell ref="CO1:CP1"/>
    <mergeCell ref="Q1:Q2"/>
    <mergeCell ref="W1:W2"/>
    <mergeCell ref="Y1:Y2"/>
    <mergeCell ref="AA1:AA2"/>
    <mergeCell ref="CR1:CR2"/>
    <mergeCell ref="CV1:CV2"/>
    <mergeCell ref="BE1:BF1"/>
    <mergeCell ref="CX1:CX2"/>
    <mergeCell ref="BG1:BH1"/>
    <mergeCell ref="BM1:BN1"/>
    <mergeCell ref="B1:B2"/>
    <mergeCell ref="BQ1:BR1"/>
    <mergeCell ref="L1:L2"/>
    <mergeCell ref="AC1:AC2"/>
    <mergeCell ref="BS1:BT1"/>
    <mergeCell ref="N1:N2"/>
    <mergeCell ref="T1:T2"/>
    <mergeCell ref="AM1:AN1"/>
    <mergeCell ref="BU1:BV1"/>
    <mergeCell ref="X1:X2"/>
    <mergeCell ref="CQ1:CQ2"/>
    <mergeCell ref="CS1:CS2"/>
    <mergeCell ref="AK1:AL1"/>
    <mergeCell ref="AO1:AP1"/>
    <mergeCell ref="AE1:AF1"/>
    <mergeCell ref="CM1:CN1"/>
    <mergeCell ref="G1:G2"/>
    <mergeCell ref="AQ1:AR1"/>
    <mergeCell ref="AW1:AX1"/>
    <mergeCell ref="I1:I2"/>
    <mergeCell ref="Z1:Z2"/>
    <mergeCell ref="AY1:AZ1"/>
    <mergeCell ref="A1:A2"/>
    <mergeCell ref="CE1:CF1"/>
    <mergeCell ref="CG1:CH1"/>
    <mergeCell ref="S1:S2"/>
    <mergeCell ref="U1:U2"/>
    <mergeCell ref="BA1:BB1"/>
    <mergeCell ref="CT1:CT2"/>
    <mergeCell ref="BC1:BD1"/>
    <mergeCell ref="BI1:BJ1"/>
    <mergeCell ref="D1:D2"/>
    <mergeCell ref="BK1:BL1"/>
    <mergeCell ref="F1:F2"/>
    <mergeCell ref="H1:H2"/>
    <mergeCell ref="BO1:BP1"/>
    <mergeCell ref="J1:J2"/>
    <mergeCell ref="P1:P2"/>
    <mergeCell ref="BW1:BX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41" t="inlineStr">
        <is>
          <t>كود الفرع</t>
        </is>
      </c>
      <c r="B1" s="41" t="inlineStr">
        <is>
          <t>اسم المعرض / الفرع</t>
        </is>
      </c>
      <c r="C1" s="41" t="inlineStr">
        <is>
          <t>تصنيف الفرع</t>
        </is>
      </c>
      <c r="D1" s="41" t="inlineStr">
        <is>
          <t>إجمالي الرصيد (قطع)</t>
        </is>
      </c>
      <c r="E1" s="41" t="inlineStr">
        <is>
          <t>قيمة المخزون بالتكلفة (ر.س)</t>
        </is>
      </c>
      <c r="F1" s="41" t="inlineStr">
        <is>
          <t>قيمة المبيعات بالبيع (ر.س)</t>
        </is>
      </c>
      <c r="G1" s="41" t="inlineStr">
        <is>
          <t>إجمالي المبيعات (قطع)</t>
        </is>
      </c>
    </row>
    <row r="2" ht="18" customHeight="1">
      <c r="A2" s="42" t="inlineStr">
        <is>
          <t>128</t>
        </is>
      </c>
      <c r="B2" s="43" t="inlineStr">
        <is>
          <t>سوق الشاطئ</t>
        </is>
      </c>
      <c r="C2" s="42" t="inlineStr">
        <is>
          <t>🌿 عناية</t>
        </is>
      </c>
      <c r="D2" s="44" t="n">
        <v>312</v>
      </c>
      <c r="E2" s="45" t="n">
        <v>9929.799999999999</v>
      </c>
      <c r="F2" s="45" t="n">
        <v>4931.849999999999</v>
      </c>
      <c r="G2" s="44" t="n">
        <v>81</v>
      </c>
    </row>
    <row r="3" ht="18" customHeight="1">
      <c r="A3" s="42" t="inlineStr">
        <is>
          <t>120</t>
        </is>
      </c>
      <c r="B3" s="43" t="inlineStr">
        <is>
          <t>معرض الحمدانية</t>
        </is>
      </c>
      <c r="C3" s="42" t="inlineStr">
        <is>
          <t>🌿 عناية</t>
        </is>
      </c>
      <c r="D3" s="44" t="n">
        <v>3</v>
      </c>
      <c r="E3" s="45" t="n">
        <v>12</v>
      </c>
      <c r="F3" s="45" t="n">
        <v>0</v>
      </c>
      <c r="G3" s="44" t="n">
        <v>0</v>
      </c>
    </row>
    <row r="4" ht="18" customHeight="1">
      <c r="A4" s="46" t="inlineStr">
        <is>
          <t>101</t>
        </is>
      </c>
      <c r="B4" s="47" t="inlineStr">
        <is>
          <t>معرض الشربتلي</t>
        </is>
      </c>
      <c r="C4" s="46" t="inlineStr">
        <is>
          <t>🏬 معارض</t>
        </is>
      </c>
      <c r="D4" s="14" t="n">
        <v>0</v>
      </c>
      <c r="E4" s="12" t="n">
        <v>0</v>
      </c>
      <c r="F4" s="12" t="n">
        <v>0</v>
      </c>
      <c r="G4" s="14" t="n">
        <v>0</v>
      </c>
    </row>
    <row r="5" ht="18" customHeight="1">
      <c r="A5" s="48" t="inlineStr">
        <is>
          <t>102</t>
        </is>
      </c>
      <c r="B5" s="49" t="inlineStr">
        <is>
          <t>معرض البطاطي</t>
        </is>
      </c>
      <c r="C5" s="48" t="inlineStr">
        <is>
          <t>🏬 معارض</t>
        </is>
      </c>
      <c r="D5" s="24" t="n">
        <v>0</v>
      </c>
      <c r="E5" s="22" t="n">
        <v>0</v>
      </c>
      <c r="F5" s="22" t="n">
        <v>0</v>
      </c>
      <c r="G5" s="24" t="n">
        <v>0</v>
      </c>
    </row>
    <row r="6" ht="18" customHeight="1">
      <c r="A6" s="46" t="inlineStr">
        <is>
          <t>103</t>
        </is>
      </c>
      <c r="B6" s="47" t="inlineStr">
        <is>
          <t>معرض الاسنوي</t>
        </is>
      </c>
      <c r="C6" s="46" t="inlineStr">
        <is>
          <t>🏬 معارض</t>
        </is>
      </c>
      <c r="D6" s="14" t="n">
        <v>0</v>
      </c>
      <c r="E6" s="12" t="n">
        <v>0</v>
      </c>
      <c r="F6" s="12" t="n">
        <v>0</v>
      </c>
      <c r="G6" s="14" t="n">
        <v>0</v>
      </c>
    </row>
    <row r="7" ht="18" customHeight="1">
      <c r="A7" s="48" t="inlineStr">
        <is>
          <t>104</t>
        </is>
      </c>
      <c r="B7" s="49" t="inlineStr">
        <is>
          <t>معرض الذهب</t>
        </is>
      </c>
      <c r="C7" s="48" t="inlineStr">
        <is>
          <t>🏬 معارض</t>
        </is>
      </c>
      <c r="D7" s="24" t="n">
        <v>0</v>
      </c>
      <c r="E7" s="22" t="n">
        <v>0</v>
      </c>
      <c r="F7" s="22" t="n">
        <v>0</v>
      </c>
      <c r="G7" s="24" t="n">
        <v>0</v>
      </c>
    </row>
    <row r="8" ht="18" customHeight="1">
      <c r="A8" s="46" t="inlineStr">
        <is>
          <t>105</t>
        </is>
      </c>
      <c r="B8" s="47" t="inlineStr">
        <is>
          <t>معرض باناجة</t>
        </is>
      </c>
      <c r="C8" s="46" t="inlineStr">
        <is>
          <t>🏬 معارض</t>
        </is>
      </c>
      <c r="D8" s="14" t="n">
        <v>0</v>
      </c>
      <c r="E8" s="12" t="n">
        <v>0</v>
      </c>
      <c r="F8" s="12" t="n">
        <v>0</v>
      </c>
      <c r="G8" s="14" t="n">
        <v>0</v>
      </c>
    </row>
    <row r="9" ht="18" customHeight="1">
      <c r="A9" s="42" t="inlineStr">
        <is>
          <t>106</t>
        </is>
      </c>
      <c r="B9" s="43" t="inlineStr">
        <is>
          <t>معرض الصفاء</t>
        </is>
      </c>
      <c r="C9" s="42" t="inlineStr">
        <is>
          <t>🌿 عناية</t>
        </is>
      </c>
      <c r="D9" s="44" t="n">
        <v>0</v>
      </c>
      <c r="E9" s="45" t="n">
        <v>0</v>
      </c>
      <c r="F9" s="45" t="n">
        <v>0</v>
      </c>
      <c r="G9" s="44" t="n">
        <v>0</v>
      </c>
    </row>
    <row r="10" ht="18" customHeight="1">
      <c r="A10" s="46" t="inlineStr">
        <is>
          <t>107</t>
        </is>
      </c>
      <c r="B10" s="47" t="inlineStr">
        <is>
          <t>معرض الاوقاف</t>
        </is>
      </c>
      <c r="C10" s="46" t="inlineStr">
        <is>
          <t>🏬 معارض</t>
        </is>
      </c>
      <c r="D10" s="14" t="n">
        <v>0</v>
      </c>
      <c r="E10" s="12" t="n">
        <v>0</v>
      </c>
      <c r="F10" s="12" t="n">
        <v>0</v>
      </c>
      <c r="G10" s="14" t="n">
        <v>0</v>
      </c>
    </row>
    <row r="11" ht="18" customHeight="1">
      <c r="A11" s="48" t="inlineStr">
        <is>
          <t>112</t>
        </is>
      </c>
      <c r="B11" s="49" t="inlineStr">
        <is>
          <t>معرض البوادي</t>
        </is>
      </c>
      <c r="C11" s="48" t="inlineStr">
        <is>
          <t>🏬 معارض</t>
        </is>
      </c>
      <c r="D11" s="24" t="n">
        <v>0</v>
      </c>
      <c r="E11" s="22" t="n">
        <v>0</v>
      </c>
      <c r="F11" s="22" t="n">
        <v>0</v>
      </c>
      <c r="G11" s="24" t="n">
        <v>0</v>
      </c>
    </row>
    <row r="12" ht="18" customHeight="1">
      <c r="A12" s="46" t="inlineStr">
        <is>
          <t>115</t>
        </is>
      </c>
      <c r="B12" s="47" t="inlineStr">
        <is>
          <t>معرض مكة الستين</t>
        </is>
      </c>
      <c r="C12" s="46" t="inlineStr">
        <is>
          <t>🏬 معارض</t>
        </is>
      </c>
      <c r="D12" s="14" t="n">
        <v>0</v>
      </c>
      <c r="E12" s="12" t="n">
        <v>0</v>
      </c>
      <c r="F12" s="12" t="n">
        <v>0</v>
      </c>
      <c r="G12" s="14" t="n">
        <v>0</v>
      </c>
    </row>
    <row r="13" ht="18" customHeight="1">
      <c r="A13" s="48" t="inlineStr">
        <is>
          <t>116</t>
        </is>
      </c>
      <c r="B13" s="49" t="inlineStr">
        <is>
          <t>معرض مكة الشرائع</t>
        </is>
      </c>
      <c r="C13" s="48" t="inlineStr">
        <is>
          <t>🏬 معارض</t>
        </is>
      </c>
      <c r="D13" s="24" t="n">
        <v>0</v>
      </c>
      <c r="E13" s="22" t="n">
        <v>0</v>
      </c>
      <c r="F13" s="22" t="n">
        <v>0</v>
      </c>
      <c r="G13" s="24" t="n">
        <v>0</v>
      </c>
    </row>
    <row r="14" ht="18" customHeight="1">
      <c r="A14" s="42" t="inlineStr">
        <is>
          <t>118</t>
        </is>
      </c>
      <c r="B14" s="43" t="inlineStr">
        <is>
          <t>معرض الطايف</t>
        </is>
      </c>
      <c r="C14" s="42" t="inlineStr">
        <is>
          <t>🌿 عناية</t>
        </is>
      </c>
      <c r="D14" s="44" t="n">
        <v>0</v>
      </c>
      <c r="E14" s="45" t="n">
        <v>0</v>
      </c>
      <c r="F14" s="45" t="n">
        <v>0</v>
      </c>
      <c r="G14" s="44" t="n">
        <v>0</v>
      </c>
    </row>
    <row r="15" ht="18" customHeight="1">
      <c r="A15" s="48" t="inlineStr">
        <is>
          <t>119</t>
        </is>
      </c>
      <c r="B15" s="49" t="inlineStr">
        <is>
          <t>معرض ينبع</t>
        </is>
      </c>
      <c r="C15" s="48" t="inlineStr">
        <is>
          <t>🏬 معارض</t>
        </is>
      </c>
      <c r="D15" s="24" t="n">
        <v>0</v>
      </c>
      <c r="E15" s="22" t="n">
        <v>0</v>
      </c>
      <c r="F15" s="22" t="n">
        <v>0</v>
      </c>
      <c r="G15" s="24" t="n">
        <v>0</v>
      </c>
    </row>
    <row r="16" ht="18" customHeight="1">
      <c r="A16" s="46" t="inlineStr">
        <is>
          <t>121</t>
        </is>
      </c>
      <c r="B16" s="47" t="inlineStr">
        <is>
          <t>معرض الدراجة MS</t>
        </is>
      </c>
      <c r="C16" s="46" t="inlineStr">
        <is>
          <t>🏬 معارض</t>
        </is>
      </c>
      <c r="D16" s="14" t="n">
        <v>0</v>
      </c>
      <c r="E16" s="12" t="n">
        <v>0</v>
      </c>
      <c r="F16" s="12" t="n">
        <v>0</v>
      </c>
      <c r="G16" s="14" t="n">
        <v>0</v>
      </c>
    </row>
    <row r="17" ht="18" customHeight="1">
      <c r="A17" s="48" t="inlineStr">
        <is>
          <t>122</t>
        </is>
      </c>
      <c r="B17" s="49" t="inlineStr">
        <is>
          <t>معرض البوادي MS</t>
        </is>
      </c>
      <c r="C17" s="48" t="inlineStr">
        <is>
          <t>🏬 معارض</t>
        </is>
      </c>
      <c r="D17" s="24" t="n">
        <v>0</v>
      </c>
      <c r="E17" s="22" t="n">
        <v>0</v>
      </c>
      <c r="F17" s="22" t="n">
        <v>0</v>
      </c>
      <c r="G17" s="24" t="n">
        <v>0</v>
      </c>
    </row>
    <row r="18" ht="18" customHeight="1">
      <c r="A18" s="46" t="inlineStr">
        <is>
          <t>123</t>
        </is>
      </c>
      <c r="B18" s="47" t="inlineStr">
        <is>
          <t>معرض قربان MS</t>
        </is>
      </c>
      <c r="C18" s="46" t="inlineStr">
        <is>
          <t>🏬 معارض</t>
        </is>
      </c>
      <c r="D18" s="14" t="n">
        <v>0</v>
      </c>
      <c r="E18" s="12" t="n">
        <v>0</v>
      </c>
      <c r="F18" s="12" t="n">
        <v>0</v>
      </c>
      <c r="G18" s="14" t="n">
        <v>0</v>
      </c>
    </row>
    <row r="19" ht="18" customHeight="1">
      <c r="A19" s="48" t="inlineStr">
        <is>
          <t>125</t>
        </is>
      </c>
      <c r="B19" s="49" t="inlineStr">
        <is>
          <t>معرض مكة العزيزة</t>
        </is>
      </c>
      <c r="C19" s="48" t="inlineStr">
        <is>
          <t>🏬 معارض</t>
        </is>
      </c>
      <c r="D19" s="24" t="n">
        <v>0</v>
      </c>
      <c r="E19" s="22" t="n">
        <v>0</v>
      </c>
      <c r="F19" s="22" t="n">
        <v>0</v>
      </c>
      <c r="G19" s="24" t="n">
        <v>0</v>
      </c>
    </row>
    <row r="20" ht="18" customHeight="1">
      <c r="A20" s="46" t="inlineStr">
        <is>
          <t>127</t>
        </is>
      </c>
      <c r="B20" s="47" t="inlineStr">
        <is>
          <t>معرض الوزرية</t>
        </is>
      </c>
      <c r="C20" s="46" t="inlineStr">
        <is>
          <t>🏬 معارض</t>
        </is>
      </c>
      <c r="D20" s="14" t="n">
        <v>0</v>
      </c>
      <c r="E20" s="12" t="n">
        <v>0</v>
      </c>
      <c r="F20" s="12" t="n">
        <v>0</v>
      </c>
      <c r="G20" s="14" t="n">
        <v>0</v>
      </c>
    </row>
    <row r="21" ht="18" customHeight="1">
      <c r="A21" s="48" t="inlineStr">
        <is>
          <t>129</t>
        </is>
      </c>
      <c r="B21" s="49" t="inlineStr">
        <is>
          <t>معرض المكرونة 2</t>
        </is>
      </c>
      <c r="C21" s="48" t="inlineStr">
        <is>
          <t>🏬 معارض</t>
        </is>
      </c>
      <c r="D21" s="24" t="n">
        <v>0</v>
      </c>
      <c r="E21" s="22" t="n">
        <v>0</v>
      </c>
      <c r="F21" s="22" t="n">
        <v>0</v>
      </c>
      <c r="G21" s="24" t="n">
        <v>0</v>
      </c>
    </row>
    <row r="22" ht="18" customHeight="1">
      <c r="A22" s="46" t="inlineStr">
        <is>
          <t>130</t>
        </is>
      </c>
      <c r="B22" s="47" t="inlineStr">
        <is>
          <t>معرض الخزان</t>
        </is>
      </c>
      <c r="C22" s="46" t="inlineStr">
        <is>
          <t>🏬 معارض</t>
        </is>
      </c>
      <c r="D22" s="14" t="n">
        <v>0</v>
      </c>
      <c r="E22" s="12" t="n">
        <v>0</v>
      </c>
      <c r="F22" s="12" t="n">
        <v>0</v>
      </c>
      <c r="G22" s="14" t="n">
        <v>0</v>
      </c>
    </row>
    <row r="23" ht="18" customHeight="1">
      <c r="A23" s="48" t="inlineStr">
        <is>
          <t>132</t>
        </is>
      </c>
      <c r="B23" s="49" t="inlineStr">
        <is>
          <t>معرض المعقلية MS</t>
        </is>
      </c>
      <c r="C23" s="48" t="inlineStr">
        <is>
          <t>🏬 معارض</t>
        </is>
      </c>
      <c r="D23" s="24" t="n">
        <v>0</v>
      </c>
      <c r="E23" s="22" t="n">
        <v>0</v>
      </c>
      <c r="F23" s="22" t="n">
        <v>0</v>
      </c>
      <c r="G23" s="24" t="n">
        <v>0</v>
      </c>
    </row>
    <row r="24" ht="18" customHeight="1">
      <c r="A24" s="46" t="inlineStr">
        <is>
          <t>140</t>
        </is>
      </c>
      <c r="B24" s="47" t="inlineStr">
        <is>
          <t>معرض الدمام</t>
        </is>
      </c>
      <c r="C24" s="46" t="inlineStr">
        <is>
          <t>🏬 معارض</t>
        </is>
      </c>
      <c r="D24" s="14" t="n">
        <v>0</v>
      </c>
      <c r="E24" s="12" t="n">
        <v>0</v>
      </c>
      <c r="F24" s="12" t="n">
        <v>0</v>
      </c>
      <c r="G24" s="14" t="n">
        <v>0</v>
      </c>
    </row>
    <row r="25" ht="18" customHeight="1">
      <c r="A25" s="48" t="inlineStr">
        <is>
          <t>142</t>
        </is>
      </c>
      <c r="B25" s="49" t="inlineStr">
        <is>
          <t>معرض الاحساء الهفوف</t>
        </is>
      </c>
      <c r="C25" s="48" t="inlineStr">
        <is>
          <t>🏬 معارض</t>
        </is>
      </c>
      <c r="D25" s="24" t="n">
        <v>0</v>
      </c>
      <c r="E25" s="22" t="n">
        <v>0</v>
      </c>
      <c r="F25" s="22" t="n">
        <v>0</v>
      </c>
      <c r="G25" s="24" t="n">
        <v>0</v>
      </c>
    </row>
    <row r="26" ht="18" customHeight="1">
      <c r="A26" s="46" t="inlineStr">
        <is>
          <t>143</t>
        </is>
      </c>
      <c r="B26" s="47" t="inlineStr">
        <is>
          <t>معرض الحب MS</t>
        </is>
      </c>
      <c r="C26" s="46" t="inlineStr">
        <is>
          <t>🏬 معارض</t>
        </is>
      </c>
      <c r="D26" s="14" t="n">
        <v>0</v>
      </c>
      <c r="E26" s="12" t="n">
        <v>0</v>
      </c>
      <c r="F26" s="12" t="n">
        <v>0</v>
      </c>
      <c r="G26" s="14" t="n">
        <v>0</v>
      </c>
    </row>
    <row r="27" ht="18" customHeight="1">
      <c r="A27" s="48" t="inlineStr">
        <is>
          <t>151</t>
        </is>
      </c>
      <c r="B27" s="49" t="inlineStr">
        <is>
          <t>معرض العسكرية</t>
        </is>
      </c>
      <c r="C27" s="48" t="inlineStr">
        <is>
          <t>🏬 معارض</t>
        </is>
      </c>
      <c r="D27" s="24" t="n">
        <v>0</v>
      </c>
      <c r="E27" s="22" t="n">
        <v>0</v>
      </c>
      <c r="F27" s="22" t="n">
        <v>0</v>
      </c>
      <c r="G27" s="24" t="n">
        <v>0</v>
      </c>
    </row>
    <row r="28" ht="18" customHeight="1">
      <c r="A28" s="46" t="inlineStr">
        <is>
          <t>152</t>
        </is>
      </c>
      <c r="B28" s="47" t="inlineStr">
        <is>
          <t>معرض خميس البلد</t>
        </is>
      </c>
      <c r="C28" s="46" t="inlineStr">
        <is>
          <t>🏬 معارض</t>
        </is>
      </c>
      <c r="D28" s="14" t="n">
        <v>0</v>
      </c>
      <c r="E28" s="12" t="n">
        <v>0</v>
      </c>
      <c r="F28" s="12" t="n">
        <v>0</v>
      </c>
      <c r="G28" s="14" t="n">
        <v>0</v>
      </c>
    </row>
    <row r="29" ht="18" customHeight="1">
      <c r="A29" s="48" t="inlineStr">
        <is>
          <t>153</t>
        </is>
      </c>
      <c r="B29" s="49" t="inlineStr">
        <is>
          <t>معرض محايل عسير</t>
        </is>
      </c>
      <c r="C29" s="48" t="inlineStr">
        <is>
          <t>🏬 معارض</t>
        </is>
      </c>
      <c r="D29" s="24" t="n">
        <v>0</v>
      </c>
      <c r="E29" s="22" t="n">
        <v>0</v>
      </c>
      <c r="F29" s="22" t="n">
        <v>0</v>
      </c>
      <c r="G29" s="24" t="n">
        <v>0</v>
      </c>
    </row>
    <row r="30" ht="18" customHeight="1">
      <c r="A30" s="46" t="inlineStr">
        <is>
          <t>155</t>
        </is>
      </c>
      <c r="B30" s="47" t="inlineStr">
        <is>
          <t>معرض جيزان الاسرة</t>
        </is>
      </c>
      <c r="C30" s="46" t="inlineStr">
        <is>
          <t>🏬 معارض</t>
        </is>
      </c>
      <c r="D30" s="14" t="n">
        <v>0</v>
      </c>
      <c r="E30" s="12" t="n">
        <v>0</v>
      </c>
      <c r="F30" s="12" t="n">
        <v>0</v>
      </c>
      <c r="G30" s="14" t="n">
        <v>0</v>
      </c>
    </row>
    <row r="31" ht="18" customHeight="1">
      <c r="A31" s="48" t="inlineStr">
        <is>
          <t>157</t>
        </is>
      </c>
      <c r="B31" s="49" t="inlineStr">
        <is>
          <t>معرض صبيا</t>
        </is>
      </c>
      <c r="C31" s="48" t="inlineStr">
        <is>
          <t>🏬 معارض</t>
        </is>
      </c>
      <c r="D31" s="24" t="n">
        <v>0</v>
      </c>
      <c r="E31" s="22" t="n">
        <v>0</v>
      </c>
      <c r="F31" s="22" t="n">
        <v>0</v>
      </c>
      <c r="G31" s="24" t="n">
        <v>0</v>
      </c>
    </row>
    <row r="32" ht="18" customHeight="1">
      <c r="A32" s="46" t="inlineStr">
        <is>
          <t>MSPRT</t>
        </is>
      </c>
      <c r="B32" s="47" t="inlineStr">
        <is>
          <t>فرع مس برتي</t>
        </is>
      </c>
      <c r="C32" s="46" t="inlineStr">
        <is>
          <t>🏬 معارض</t>
        </is>
      </c>
      <c r="D32" s="14" t="n">
        <v>0</v>
      </c>
      <c r="E32" s="12" t="n">
        <v>0</v>
      </c>
      <c r="F32" s="12" t="n">
        <v>0</v>
      </c>
      <c r="G32" s="14" t="n">
        <v>0</v>
      </c>
    </row>
    <row r="33" ht="18" customHeight="1">
      <c r="A33" s="48" t="inlineStr">
        <is>
          <t>NORYA</t>
        </is>
      </c>
      <c r="B33" s="49" t="inlineStr">
        <is>
          <t>فرع النورية</t>
        </is>
      </c>
      <c r="C33" s="48" t="inlineStr">
        <is>
          <t>🏬 معارض</t>
        </is>
      </c>
      <c r="D33" s="24" t="n">
        <v>0</v>
      </c>
      <c r="E33" s="22" t="n">
        <v>0</v>
      </c>
      <c r="F33" s="22" t="n">
        <v>0</v>
      </c>
      <c r="G33" s="24" t="n">
        <v>0</v>
      </c>
    </row>
    <row r="34" ht="22" customHeight="1">
      <c r="A34" s="50" t="inlineStr">
        <is>
          <t>▶ الإجمالي العام</t>
        </is>
      </c>
      <c r="B34" s="51" t="inlineStr"/>
      <c r="C34" s="50" t="inlineStr"/>
      <c r="D34" s="36">
        <f>SUBTOTAL(9, D2:D33)</f>
        <v/>
      </c>
      <c r="E34" s="40">
        <f>SUBTOTAL(9, E2:E33)</f>
        <v/>
      </c>
      <c r="F34" s="40">
        <f>SUBTOTAL(9, F2:F33)</f>
        <v/>
      </c>
      <c r="G34" s="36">
        <f>SUBTOTAL(9, 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2026-09-09T08:56:01Z</dcterms:created>
  <dcterms:modified xsi:type="dcterms:W3CDTF">2026-09-09T08:56:01Z</dcterms:modified>
</cp:coreProperties>
</file>