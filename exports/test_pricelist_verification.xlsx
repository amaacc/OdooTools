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تفاصيل المنتجات والمعارض" sheetId="1" state="visible" r:id="rId1"/>
    <sheet name="ملخص المعارض والفروع" sheetId="2" state="visible" r:id="rId2"/>
    <sheet name="📘 دليل ومنهجية الحسابات"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15">
    <font>
      <name val="Calibri"/>
      <family val="2"/>
      <color theme="1"/>
      <sz val="11"/>
      <scheme val="minor"/>
    </font>
    <font>
      <name val="Segoe UI"/>
      <b val="1"/>
      <color rgb="00FFFFFF"/>
      <sz val="9"/>
    </font>
    <font>
      <name val="Segoe UI"/>
      <b val="1"/>
      <color rgb="00FFFFFF"/>
      <sz val="8"/>
    </font>
    <font>
      <name val="Segoe UI"/>
      <sz val="9"/>
    </font>
    <font>
      <name val="Segoe UI"/>
      <b val="1"/>
      <color rgb="00385723"/>
      <sz val="9"/>
    </font>
    <font>
      <name val="Segoe UI"/>
      <color rgb="006C757D"/>
      <sz val="9"/>
    </font>
    <font>
      <name val="Segoe UI"/>
      <b val="1"/>
      <color rgb="007F6000"/>
      <sz val="9"/>
    </font>
    <font>
      <name val="Segoe UI"/>
      <b val="1"/>
      <color rgb="00FFFFFF"/>
      <sz val="13"/>
    </font>
    <font>
      <name val="Segoe UI"/>
      <color rgb="00475569"/>
      <sz val="9.5"/>
    </font>
    <font>
      <name val="Segoe UI"/>
      <b val="1"/>
      <color rgb="00FFFFFF"/>
      <sz val="10"/>
    </font>
    <font>
      <name val="Segoe UI"/>
      <b val="1"/>
      <color rgb="001E3A8A"/>
      <sz val="9.5"/>
    </font>
    <font>
      <name val="Segoe UI"/>
      <b val="1"/>
      <color rgb="000F766E"/>
      <sz val="9"/>
    </font>
    <font>
      <name val="Segoe UI"/>
      <color rgb="000F172A"/>
      <sz val="9"/>
    </font>
    <font>
      <name val="Consolas"/>
      <color rgb="007C2D12"/>
      <sz val="8.5"/>
    </font>
    <font>
      <name val="Segoe UI"/>
      <b val="1"/>
      <color rgb="001E40AF"/>
      <sz val="9.5"/>
    </font>
  </fonts>
  <fills count="14">
    <fill>
      <patternFill/>
    </fill>
    <fill>
      <patternFill patternType="gray125"/>
    </fill>
    <fill>
      <patternFill patternType="solid">
        <fgColor rgb="002E75B6"/>
      </patternFill>
    </fill>
    <fill>
      <patternFill patternType="solid">
        <fgColor rgb="001F4E79"/>
      </patternFill>
    </fill>
    <fill>
      <patternFill patternType="solid">
        <fgColor rgb="00179B9B"/>
      </patternFill>
    </fill>
    <fill>
      <patternFill patternType="solid">
        <fgColor rgb="002AA49C"/>
      </patternFill>
    </fill>
    <fill>
      <patternFill patternType="solid">
        <fgColor rgb="00833C0C"/>
      </patternFill>
    </fill>
    <fill>
      <patternFill patternType="solid">
        <fgColor rgb="00FFF2CC"/>
      </patternFill>
    </fill>
    <fill>
      <patternFill patternType="solid">
        <fgColor rgb="00E6F7F6"/>
      </patternFill>
    </fill>
    <fill>
      <patternFill patternType="solid">
        <fgColor rgb="00F2F5F9"/>
      </patternFill>
    </fill>
    <fill>
      <patternFill patternType="solid">
        <fgColor rgb="00F8FAFC"/>
      </patternFill>
    </fill>
    <fill>
      <patternFill patternType="solid">
        <fgColor rgb="00FFFFFF"/>
      </patternFill>
    </fill>
    <fill>
      <patternFill patternType="solid">
        <fgColor rgb="00F1F5F9"/>
      </patternFill>
    </fill>
    <fill>
      <patternFill patternType="solid">
        <fgColor rgb="00EFF6FF"/>
      </patternFill>
    </fill>
  </fills>
  <borders count="11">
    <border>
      <left/>
      <right/>
      <top/>
      <bottom/>
      <diagonal/>
    </border>
    <border>
      <left style="thin">
        <color rgb="00D9D9D9"/>
      </left>
      <right style="thin">
        <color rgb="00D9D9D9"/>
      </right>
      <top style="thin">
        <color rgb="00D9D9D9"/>
      </top>
      <bottom style="thin">
        <color rgb="00D9D9D9"/>
      </bottom>
    </border>
    <border>
      <left style="thin">
        <color rgb="00D9D9D9"/>
      </left>
      <right/>
      <top/>
      <bottom/>
      <diagonal/>
    </border>
    <border>
      <left style="thin">
        <color rgb="00D9D9D9"/>
      </left>
      <right style="thin">
        <color rgb="00D9D9D9"/>
      </right>
      <top/>
      <bottom/>
      <diagonal/>
    </border>
    <border>
      <left style="thin">
        <color rgb="00D9D9D9"/>
      </left>
      <right style="thin">
        <color rgb="00D9D9D9"/>
      </right>
      <top/>
      <bottom style="thin">
        <color rgb="00D9D9D9"/>
      </bottom>
      <diagonal/>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
      <left style="thin">
        <color rgb="007F6000"/>
      </left>
      <right style="thin">
        <color rgb="007F6000"/>
      </right>
      <top style="thin">
        <color rgb="007F6000"/>
      </top>
      <bottom style="thin">
        <color rgb="007F6000"/>
      </bottom>
    </border>
    <border>
      <left style="thin">
        <color rgb="00CBD5E1"/>
      </left>
      <right style="thin">
        <color rgb="00CBD5E1"/>
      </right>
      <top style="thin">
        <color rgb="00CBD5E1"/>
      </top>
      <bottom style="thin">
        <color rgb="00CBD5E1"/>
      </bottom>
    </border>
    <border>
      <left style="medium">
        <color rgb="003B82F6"/>
      </left>
      <right style="medium">
        <color rgb="003B82F6"/>
      </right>
      <top style="medium">
        <color rgb="003B82F6"/>
      </top>
      <bottom style="medium">
        <color rgb="003B82F6"/>
      </bottom>
    </border>
  </borders>
  <cellStyleXfs count="1">
    <xf numFmtId="0" fontId="0" fillId="0" borderId="0"/>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7" pivotButton="0" quotePrefix="0" xfId="0"/>
    <xf numFmtId="0" fontId="1" fillId="4" borderId="1" applyAlignment="1" pivotButton="0" quotePrefix="0" xfId="0">
      <alignment horizontal="center" vertical="center" wrapText="1"/>
    </xf>
    <xf numFmtId="0" fontId="1" fillId="6" borderId="1" applyAlignment="1" pivotButton="0" quotePrefix="0" xfId="0">
      <alignment horizontal="center" vertical="center" wrapText="1"/>
    </xf>
    <xf numFmtId="0" fontId="0" fillId="0" borderId="4" pivotButton="0" quotePrefix="0" xfId="0"/>
    <xf numFmtId="0" fontId="2" fillId="2"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right" vertical="center"/>
    </xf>
    <xf numFmtId="0" fontId="3" fillId="0" borderId="1" applyAlignment="1" pivotButton="0" quotePrefix="0" xfId="0">
      <alignment horizontal="left" vertical="center"/>
    </xf>
    <xf numFmtId="4" fontId="3" fillId="0" borderId="1" applyAlignment="1" pivotButton="0" quotePrefix="0" xfId="0">
      <alignment horizontal="right" vertical="center"/>
    </xf>
    <xf numFmtId="165" fontId="3" fillId="0" borderId="1" applyAlignment="1" pivotButton="0" quotePrefix="0" xfId="0">
      <alignment horizontal="center" vertical="center"/>
    </xf>
    <xf numFmtId="3" fontId="3" fillId="0" borderId="1" applyAlignment="1" pivotButton="0" quotePrefix="0" xfId="0">
      <alignment horizontal="center" vertical="center"/>
    </xf>
    <xf numFmtId="10" fontId="3" fillId="0" borderId="1" applyAlignment="1" pivotButton="0" quotePrefix="0" xfId="0">
      <alignment horizontal="center" vertical="center"/>
    </xf>
    <xf numFmtId="164" fontId="3"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center" vertical="center"/>
    </xf>
    <xf numFmtId="3" fontId="6" fillId="7" borderId="8" applyAlignment="1" pivotButton="0" quotePrefix="0" xfId="0">
      <alignment horizontal="center" vertical="center"/>
    </xf>
    <xf numFmtId="0" fontId="6" fillId="7" borderId="8" applyAlignment="1" pivotButton="0" quotePrefix="0" xfId="0">
      <alignment horizontal="center" vertical="center"/>
    </xf>
    <xf numFmtId="0" fontId="6" fillId="7" borderId="8" applyAlignment="1" pivotButton="0" quotePrefix="0" xfId="0">
      <alignment horizontal="right" vertical="center"/>
    </xf>
    <xf numFmtId="0" fontId="6" fillId="7" borderId="8" applyAlignment="1" pivotButton="0" quotePrefix="0" xfId="0">
      <alignment horizontal="left" vertical="center"/>
    </xf>
    <xf numFmtId="4" fontId="6" fillId="7" borderId="8" applyAlignment="1" pivotButton="0" quotePrefix="0" xfId="0">
      <alignment horizontal="right" vertical="center"/>
    </xf>
    <xf numFmtId="0" fontId="1" fillId="2" borderId="1" applyAlignment="1" pivotButton="0" quotePrefix="0" xfId="0">
      <alignment horizontal="center" vertical="center"/>
    </xf>
    <xf numFmtId="49" fontId="3" fillId="8" borderId="1" applyAlignment="1" pivotButton="0" quotePrefix="0" xfId="0">
      <alignment horizontal="center" vertical="center"/>
    </xf>
    <xf numFmtId="49" fontId="3" fillId="8" borderId="1" applyAlignment="1" pivotButton="0" quotePrefix="0" xfId="0">
      <alignment horizontal="right" vertical="center"/>
    </xf>
    <xf numFmtId="3" fontId="3" fillId="8" borderId="1" applyAlignment="1" pivotButton="0" quotePrefix="0" xfId="0">
      <alignment horizontal="center" vertical="center"/>
    </xf>
    <xf numFmtId="4" fontId="3" fillId="8" borderId="1" applyAlignment="1" pivotButton="0" quotePrefix="0" xfId="0">
      <alignment horizontal="right" vertical="center"/>
    </xf>
    <xf numFmtId="49" fontId="3" fillId="9" borderId="1" applyAlignment="1" pivotButton="0" quotePrefix="0" xfId="0">
      <alignment horizontal="center" vertical="center"/>
    </xf>
    <xf numFmtId="49" fontId="3" fillId="9" borderId="1" applyAlignment="1" pivotButton="0" quotePrefix="0" xfId="0">
      <alignment horizontal="right" vertical="center"/>
    </xf>
    <xf numFmtId="3" fontId="3" fillId="9" borderId="1" applyAlignment="1" pivotButton="0" quotePrefix="0" xfId="0">
      <alignment horizontal="center" vertical="center"/>
    </xf>
    <xf numFmtId="4" fontId="3" fillId="9" borderId="1" applyAlignment="1" pivotButton="0" quotePrefix="0" xfId="0">
      <alignment horizontal="right" vertical="center"/>
    </xf>
    <xf numFmtId="49" fontId="3" fillId="0" borderId="1" applyAlignment="1" pivotButton="0" quotePrefix="0" xfId="0">
      <alignment horizontal="center" vertical="center"/>
    </xf>
    <xf numFmtId="49" fontId="3" fillId="0" borderId="1" applyAlignment="1" pivotButton="0" quotePrefix="0" xfId="0">
      <alignment horizontal="right" vertical="center"/>
    </xf>
    <xf numFmtId="49" fontId="6" fillId="7" borderId="8" applyAlignment="1" pivotButton="0" quotePrefix="0" xfId="0">
      <alignment horizontal="center" vertical="center"/>
    </xf>
    <xf numFmtId="49" fontId="6" fillId="7" borderId="8" applyAlignment="1" pivotButton="0" quotePrefix="0" xfId="0">
      <alignment horizontal="right" vertical="center"/>
    </xf>
    <xf numFmtId="0" fontId="7" fillId="3" borderId="0" applyAlignment="1" pivotButton="0" quotePrefix="0" xfId="0">
      <alignment horizontal="center" vertical="center" wrapText="1"/>
    </xf>
    <xf numFmtId="0" fontId="8" fillId="10" borderId="0" applyAlignment="1" pivotButton="0" quotePrefix="0" xfId="0">
      <alignment horizontal="center" vertical="center" wrapText="1"/>
    </xf>
    <xf numFmtId="0" fontId="9" fillId="2" borderId="9" applyAlignment="1" pivotButton="0" quotePrefix="0" xfId="0">
      <alignment horizontal="center" vertical="center" wrapText="1"/>
    </xf>
    <xf numFmtId="0" fontId="10" fillId="11" borderId="9" applyAlignment="1" pivotButton="0" quotePrefix="0" xfId="0">
      <alignment horizontal="center" vertical="center" wrapText="1"/>
    </xf>
    <xf numFmtId="0" fontId="11" fillId="11" borderId="9" applyAlignment="1" pivotButton="0" quotePrefix="0" xfId="0">
      <alignment horizontal="center" vertical="center" wrapText="1"/>
    </xf>
    <xf numFmtId="0" fontId="12" fillId="11" borderId="9" applyAlignment="1" pivotButton="0" quotePrefix="0" xfId="0">
      <alignment horizontal="right" vertical="center" wrapText="1"/>
    </xf>
    <xf numFmtId="0" fontId="13" fillId="11" borderId="9" applyAlignment="1" pivotButton="0" quotePrefix="0" xfId="0">
      <alignment horizontal="right" vertical="center" wrapText="1"/>
    </xf>
    <xf numFmtId="0" fontId="10" fillId="12" borderId="9" applyAlignment="1" pivotButton="0" quotePrefix="0" xfId="0">
      <alignment horizontal="center" vertical="center" wrapText="1"/>
    </xf>
    <xf numFmtId="0" fontId="11" fillId="12" borderId="9" applyAlignment="1" pivotButton="0" quotePrefix="0" xfId="0">
      <alignment horizontal="center" vertical="center" wrapText="1"/>
    </xf>
    <xf numFmtId="0" fontId="12" fillId="12" borderId="9" applyAlignment="1" pivotButton="0" quotePrefix="0" xfId="0">
      <alignment horizontal="right" vertical="center" wrapText="1"/>
    </xf>
    <xf numFmtId="0" fontId="13" fillId="12" borderId="9" applyAlignment="1" pivotButton="0" quotePrefix="0" xfId="0">
      <alignment horizontal="right" vertical="center" wrapText="1"/>
    </xf>
    <xf numFmtId="0" fontId="14" fillId="13" borderId="10"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X4"/>
  <sheetViews>
    <sheetView rightToLeft="1" workbookViewId="0">
      <pane ySplit="2" topLeftCell="A3" activePane="bottomLeft" state="frozen"/>
      <selection pane="bottomLeft" activeCell="A1" sqref="A1"/>
    </sheetView>
  </sheetViews>
  <sheetFormatPr baseColWidth="8" defaultRowHeight="15"/>
  <cols>
    <col width="14" customWidth="1" min="1" max="1"/>
    <col width="16" customWidth="1" min="2" max="2"/>
    <col width="16" customWidth="1" min="3" max="3"/>
    <col width="35" customWidth="1" min="4" max="4"/>
    <col width="38" customWidth="1" min="5" max="5"/>
    <col width="10" customWidth="1" min="6" max="6"/>
    <col width="36" customWidth="1" min="7" max="7"/>
    <col width="16" customWidth="1" min="8" max="8"/>
    <col width="19" customWidth="1" min="9" max="9"/>
    <col width="10" customWidth="1" min="10" max="10"/>
    <col width="10" customWidth="1" min="11" max="11"/>
    <col width="10" customWidth="1" min="12" max="12"/>
    <col width="10" customWidth="1" min="13" max="13"/>
    <col width="11" customWidth="1" min="14" max="14"/>
    <col width="10" customWidth="1" min="15" max="15"/>
    <col width="19" customWidth="1" min="16" max="16"/>
    <col width="16" customWidth="1" min="17" max="17"/>
    <col width="15" customWidth="1" min="18" max="18"/>
    <col width="18" customWidth="1" min="19" max="19"/>
    <col width="20" customWidth="1" min="20" max="20"/>
    <col width="17" customWidth="1" min="21" max="21"/>
    <col width="11" customWidth="1" min="22" max="22"/>
    <col width="10" customWidth="1" min="23" max="23"/>
    <col width="32" customWidth="1" min="24" max="24"/>
    <col width="10" customWidth="1" min="25" max="25"/>
    <col width="11" customWidth="1" min="26" max="26"/>
    <col width="13" customWidth="1" min="27" max="27"/>
    <col width="11" customWidth="1" min="28" max="28"/>
    <col width="10" customWidth="1" min="29" max="29"/>
    <col width="11"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14" customWidth="1" min="95" max="95"/>
    <col width="14" customWidth="1" min="96" max="96"/>
    <col width="12" customWidth="1" min="97" max="97"/>
    <col width="15" customWidth="1" min="98" max="98"/>
    <col width="14" customWidth="1" min="99" max="99"/>
    <col width="15" customWidth="1" min="100" max="100"/>
    <col width="10" customWidth="1" min="101" max="101"/>
    <col width="28" customWidth="1" min="102" max="102"/>
  </cols>
  <sheetData>
    <row r="1" ht="28" customHeight="1">
      <c r="A1" s="1" t="inlineStr">
        <is>
          <t>Internal
Reference</t>
        </is>
      </c>
      <c r="B1" s="1" t="inlineStr">
        <is>
          <t>Barcode</t>
        </is>
      </c>
      <c r="C1" s="1" t="inlineStr">
        <is>
          <t>Barcodes</t>
        </is>
      </c>
      <c r="D1" s="1" t="inlineStr">
        <is>
          <t>Name</t>
        </is>
      </c>
      <c r="E1" s="1" t="inlineStr">
        <is>
          <t>Product Name Arabic</t>
        </is>
      </c>
      <c r="F1" s="1" t="inlineStr">
        <is>
          <t>Unit</t>
        </is>
      </c>
      <c r="G1" s="1" t="inlineStr">
        <is>
          <t>Products/Tags</t>
        </is>
      </c>
      <c r="H1" s="1" t="inlineStr">
        <is>
          <t>Customer Taxes</t>
        </is>
      </c>
      <c r="I1" s="1" t="inlineStr">
        <is>
          <t>Vendor Taxes</t>
        </is>
      </c>
      <c r="J1" s="1" t="inlineStr">
        <is>
          <t>Cost</t>
        </is>
      </c>
      <c r="K1" s="1" t="inlineStr">
        <is>
          <t>Price</t>
        </is>
      </c>
      <c r="L1" s="1" t="inlineStr">
        <is>
          <t>Margin
(%)</t>
        </is>
      </c>
      <c r="M1" s="1" t="inlineStr">
        <is>
          <t>Shati P</t>
        </is>
      </c>
      <c r="N1" s="1" t="inlineStr">
        <is>
          <t>SO Price</t>
        </is>
      </c>
      <c r="O1" s="1" t="inlineStr">
        <is>
          <t>Min P</t>
        </is>
      </c>
      <c r="P1" s="1" t="inlineStr">
        <is>
          <t>خصم البيع
(Pricelist Disc)</t>
        </is>
      </c>
      <c r="Q1" s="1" t="inlineStr">
        <is>
          <t>نوع الاحتساب
(Computation)</t>
        </is>
      </c>
      <c r="R1" s="1" t="inlineStr">
        <is>
          <t>وسم الخصم
(Rule Tag)</t>
        </is>
      </c>
      <c r="S1" s="1" t="inlineStr">
        <is>
          <t>التكلفة الفعلية
(Actual Cost)</t>
        </is>
      </c>
      <c r="T1" s="1" t="inlineStr">
        <is>
          <t>هامش الربح الفعلي
(Excl. VAT)</t>
        </is>
      </c>
      <c r="U1" s="1" t="inlineStr">
        <is>
          <t>السعر الجديد
(شامل الضريبة)</t>
        </is>
      </c>
      <c r="V1" s="1" t="inlineStr">
        <is>
          <t>Quantity
On Hand</t>
        </is>
      </c>
      <c r="W1" s="1" t="inlineStr">
        <is>
          <t>365d
Sold</t>
        </is>
      </c>
      <c r="X1" s="1" t="inlineStr">
        <is>
          <t>Vendor</t>
        </is>
      </c>
      <c r="Y1" s="1" t="inlineStr">
        <is>
          <t>Vendor
Price</t>
        </is>
      </c>
      <c r="Z1" s="1" t="inlineStr">
        <is>
          <t>Discount
(%)</t>
        </is>
      </c>
      <c r="AA1" s="1" t="inlineStr">
        <is>
          <t>Discounted
Price</t>
        </is>
      </c>
      <c r="AB1" s="1" t="inlineStr">
        <is>
          <t>Last
Purchase</t>
        </is>
      </c>
      <c r="AC1" s="1" t="inlineStr">
        <is>
          <t>Last
Updated</t>
        </is>
      </c>
      <c r="AD1" s="1" t="inlineStr">
        <is>
          <t>Last Qty
Received</t>
        </is>
      </c>
      <c r="AE1" s="2" t="inlineStr">
        <is>
          <t>معرض الشربتلي</t>
        </is>
      </c>
      <c r="AF1" s="3" t="n"/>
      <c r="AG1" s="2" t="inlineStr">
        <is>
          <t>معرض البطاطي</t>
        </is>
      </c>
      <c r="AH1" s="3" t="n"/>
      <c r="AI1" s="2" t="inlineStr">
        <is>
          <t>معرض الاسنوي</t>
        </is>
      </c>
      <c r="AJ1" s="3" t="n"/>
      <c r="AK1" s="2" t="inlineStr">
        <is>
          <t>معرض الذهب</t>
        </is>
      </c>
      <c r="AL1" s="3" t="n"/>
      <c r="AM1" s="2" t="inlineStr">
        <is>
          <t>معرض باناجة</t>
        </is>
      </c>
      <c r="AN1" s="3" t="n"/>
      <c r="AO1" s="4" t="inlineStr">
        <is>
          <t>معرض الصفاء</t>
        </is>
      </c>
      <c r="AP1" s="3" t="n"/>
      <c r="AQ1" s="2" t="inlineStr">
        <is>
          <t>معرض الاوقاف</t>
        </is>
      </c>
      <c r="AR1" s="3" t="n"/>
      <c r="AS1" s="2" t="inlineStr">
        <is>
          <t>معرض البوادي</t>
        </is>
      </c>
      <c r="AT1" s="3" t="n"/>
      <c r="AU1" s="2" t="inlineStr">
        <is>
          <t>معرض مكة الستين</t>
        </is>
      </c>
      <c r="AV1" s="3" t="n"/>
      <c r="AW1" s="2" t="inlineStr">
        <is>
          <t>معرض مكة الشرائع</t>
        </is>
      </c>
      <c r="AX1" s="3" t="n"/>
      <c r="AY1" s="4" t="inlineStr">
        <is>
          <t>معرض الطايف</t>
        </is>
      </c>
      <c r="AZ1" s="3" t="n"/>
      <c r="BA1" s="2" t="inlineStr">
        <is>
          <t>معرض ينبع</t>
        </is>
      </c>
      <c r="BB1" s="3" t="n"/>
      <c r="BC1" s="4" t="inlineStr">
        <is>
          <t>معرض الحمدانية</t>
        </is>
      </c>
      <c r="BD1" s="3" t="n"/>
      <c r="BE1" s="2" t="inlineStr">
        <is>
          <t>معرض الدراجة MS</t>
        </is>
      </c>
      <c r="BF1" s="3" t="n"/>
      <c r="BG1" s="2" t="inlineStr">
        <is>
          <t>معرض البوادي MS</t>
        </is>
      </c>
      <c r="BH1" s="3" t="n"/>
      <c r="BI1" s="2" t="inlineStr">
        <is>
          <t>معرض قربان MS</t>
        </is>
      </c>
      <c r="BJ1" s="3" t="n"/>
      <c r="BK1" s="2" t="inlineStr">
        <is>
          <t>معرض مكة العزيزة</t>
        </is>
      </c>
      <c r="BL1" s="3" t="n"/>
      <c r="BM1" s="2" t="inlineStr">
        <is>
          <t>معرض الوزرية</t>
        </is>
      </c>
      <c r="BN1" s="3" t="n"/>
      <c r="BO1" s="4" t="inlineStr">
        <is>
          <t>سوق الشاطئ</t>
        </is>
      </c>
      <c r="BP1" s="3" t="n"/>
      <c r="BQ1" s="2" t="inlineStr">
        <is>
          <t>معرض المكرونة 2</t>
        </is>
      </c>
      <c r="BR1" s="3" t="n"/>
      <c r="BS1" s="2" t="inlineStr">
        <is>
          <t>معرض الخزان</t>
        </is>
      </c>
      <c r="BT1" s="3" t="n"/>
      <c r="BU1" s="2" t="inlineStr">
        <is>
          <t>معرض المعقلية MS</t>
        </is>
      </c>
      <c r="BV1" s="3" t="n"/>
      <c r="BW1" s="2" t="inlineStr">
        <is>
          <t>معرض الدمام</t>
        </is>
      </c>
      <c r="BX1" s="3" t="n"/>
      <c r="BY1" s="2" t="inlineStr">
        <is>
          <t>معرض الاحساء الهفوف</t>
        </is>
      </c>
      <c r="BZ1" s="3" t="n"/>
      <c r="CA1" s="2" t="inlineStr">
        <is>
          <t>معرض الحب MS</t>
        </is>
      </c>
      <c r="CB1" s="3" t="n"/>
      <c r="CC1" s="2" t="inlineStr">
        <is>
          <t>معرض العسكرية</t>
        </is>
      </c>
      <c r="CD1" s="3" t="n"/>
      <c r="CE1" s="2" t="inlineStr">
        <is>
          <t>معرض خميس البلد</t>
        </is>
      </c>
      <c r="CF1" s="3" t="n"/>
      <c r="CG1" s="2" t="inlineStr">
        <is>
          <t>معرض محايل عسير</t>
        </is>
      </c>
      <c r="CH1" s="3" t="n"/>
      <c r="CI1" s="2" t="inlineStr">
        <is>
          <t>معرض جيزان الاسرة</t>
        </is>
      </c>
      <c r="CJ1" s="3" t="n"/>
      <c r="CK1" s="2" t="inlineStr">
        <is>
          <t>معرض صبيا</t>
        </is>
      </c>
      <c r="CL1" s="3" t="n"/>
      <c r="CM1" s="2" t="inlineStr">
        <is>
          <t>فرع مس برتي</t>
        </is>
      </c>
      <c r="CN1" s="3" t="n"/>
      <c r="CO1" s="2" t="inlineStr">
        <is>
          <t>فرع النورية</t>
        </is>
      </c>
      <c r="CP1" s="3" t="n"/>
      <c r="CQ1" s="5" t="inlineStr">
        <is>
          <t>إجمالي رصيد
المعارض</t>
        </is>
      </c>
      <c r="CR1" s="5" t="inlineStr">
        <is>
          <t>إجمالي مبيعات
المعارض</t>
        </is>
      </c>
      <c r="CS1" s="5" t="inlineStr">
        <is>
          <t>أيام التغطية
(DOI)</t>
        </is>
      </c>
      <c r="CT1" s="5" t="inlineStr">
        <is>
          <t>حالة الصنف</t>
        </is>
      </c>
      <c r="CU1" s="5" t="inlineStr">
        <is>
          <t>الطلب المقترح
(60 يوم)</t>
        </is>
      </c>
      <c r="CV1" s="5" t="inlineStr">
        <is>
          <t>قيمة الطلب
المقترح (ريال)</t>
        </is>
      </c>
      <c r="CW1" s="5" t="inlineStr">
        <is>
          <t>تصنيف
ABC</t>
        </is>
      </c>
      <c r="CX1" s="5" t="inlineStr">
        <is>
          <t>توصيات
المناقلة</t>
        </is>
      </c>
    </row>
    <row r="2" ht="20" customHeight="1">
      <c r="A2" s="6" t="n"/>
      <c r="B2" s="6" t="n"/>
      <c r="C2" s="6" t="n"/>
      <c r="D2" s="6" t="n"/>
      <c r="E2" s="6" t="n"/>
      <c r="F2" s="6" t="n"/>
      <c r="G2" s="6" t="n"/>
      <c r="H2" s="6" t="n"/>
      <c r="I2" s="6" t="n"/>
      <c r="J2" s="6" t="n"/>
      <c r="K2" s="6" t="n"/>
      <c r="L2" s="6" t="n"/>
      <c r="M2" s="6" t="n"/>
      <c r="N2" s="6" t="n"/>
      <c r="O2" s="6" t="n"/>
      <c r="P2" s="6" t="n"/>
      <c r="Q2" s="6" t="n"/>
      <c r="R2" s="6" t="n"/>
      <c r="S2" s="6" t="n"/>
      <c r="T2" s="6" t="n"/>
      <c r="U2" s="6" t="n"/>
      <c r="V2" s="6" t="n"/>
      <c r="W2" s="6" t="n"/>
      <c r="X2" s="6" t="n"/>
      <c r="Y2" s="6" t="n"/>
      <c r="Z2" s="6" t="n"/>
      <c r="AA2" s="6" t="n"/>
      <c r="AB2" s="6" t="n"/>
      <c r="AC2" s="6" t="n"/>
      <c r="AD2" s="6" t="n"/>
      <c r="AE2" s="7" t="inlineStr">
        <is>
          <t>On Hand</t>
        </is>
      </c>
      <c r="AF2" s="7" t="inlineStr">
        <is>
          <t>Sold</t>
        </is>
      </c>
      <c r="AG2" s="7" t="inlineStr">
        <is>
          <t>On Hand</t>
        </is>
      </c>
      <c r="AH2" s="7" t="inlineStr">
        <is>
          <t>Sold</t>
        </is>
      </c>
      <c r="AI2" s="7" t="inlineStr">
        <is>
          <t>On Hand</t>
        </is>
      </c>
      <c r="AJ2" s="7" t="inlineStr">
        <is>
          <t>Sold</t>
        </is>
      </c>
      <c r="AK2" s="7" t="inlineStr">
        <is>
          <t>On Hand</t>
        </is>
      </c>
      <c r="AL2" s="7" t="inlineStr">
        <is>
          <t>Sold</t>
        </is>
      </c>
      <c r="AM2" s="7" t="inlineStr">
        <is>
          <t>On Hand</t>
        </is>
      </c>
      <c r="AN2" s="7" t="inlineStr">
        <is>
          <t>Sold</t>
        </is>
      </c>
      <c r="AO2" s="8" t="inlineStr">
        <is>
          <t>On Hand</t>
        </is>
      </c>
      <c r="AP2" s="8" t="inlineStr">
        <is>
          <t>Sold</t>
        </is>
      </c>
      <c r="AQ2" s="7" t="inlineStr">
        <is>
          <t>On Hand</t>
        </is>
      </c>
      <c r="AR2" s="7" t="inlineStr">
        <is>
          <t>Sold</t>
        </is>
      </c>
      <c r="AS2" s="7" t="inlineStr">
        <is>
          <t>On Hand</t>
        </is>
      </c>
      <c r="AT2" s="7" t="inlineStr">
        <is>
          <t>Sold</t>
        </is>
      </c>
      <c r="AU2" s="7" t="inlineStr">
        <is>
          <t>On Hand</t>
        </is>
      </c>
      <c r="AV2" s="7" t="inlineStr">
        <is>
          <t>Sold</t>
        </is>
      </c>
      <c r="AW2" s="7" t="inlineStr">
        <is>
          <t>On Hand</t>
        </is>
      </c>
      <c r="AX2" s="7" t="inlineStr">
        <is>
          <t>Sold</t>
        </is>
      </c>
      <c r="AY2" s="8" t="inlineStr">
        <is>
          <t>On Hand</t>
        </is>
      </c>
      <c r="AZ2" s="8" t="inlineStr">
        <is>
          <t>Sold</t>
        </is>
      </c>
      <c r="BA2" s="7" t="inlineStr">
        <is>
          <t>On Hand</t>
        </is>
      </c>
      <c r="BB2" s="7" t="inlineStr">
        <is>
          <t>Sold</t>
        </is>
      </c>
      <c r="BC2" s="8" t="inlineStr">
        <is>
          <t>On Hand</t>
        </is>
      </c>
      <c r="BD2" s="8" t="inlineStr">
        <is>
          <t>Sold</t>
        </is>
      </c>
      <c r="BE2" s="7" t="inlineStr">
        <is>
          <t>On Hand</t>
        </is>
      </c>
      <c r="BF2" s="7" t="inlineStr">
        <is>
          <t>Sold</t>
        </is>
      </c>
      <c r="BG2" s="7" t="inlineStr">
        <is>
          <t>On Hand</t>
        </is>
      </c>
      <c r="BH2" s="7" t="inlineStr">
        <is>
          <t>Sold</t>
        </is>
      </c>
      <c r="BI2" s="7" t="inlineStr">
        <is>
          <t>On Hand</t>
        </is>
      </c>
      <c r="BJ2" s="7" t="inlineStr">
        <is>
          <t>Sold</t>
        </is>
      </c>
      <c r="BK2" s="7" t="inlineStr">
        <is>
          <t>On Hand</t>
        </is>
      </c>
      <c r="BL2" s="7" t="inlineStr">
        <is>
          <t>Sold</t>
        </is>
      </c>
      <c r="BM2" s="7" t="inlineStr">
        <is>
          <t>On Hand</t>
        </is>
      </c>
      <c r="BN2" s="7" t="inlineStr">
        <is>
          <t>Sold</t>
        </is>
      </c>
      <c r="BO2" s="8" t="inlineStr">
        <is>
          <t>On Hand</t>
        </is>
      </c>
      <c r="BP2" s="8" t="inlineStr">
        <is>
          <t>Sold</t>
        </is>
      </c>
      <c r="BQ2" s="7" t="inlineStr">
        <is>
          <t>On Hand</t>
        </is>
      </c>
      <c r="BR2" s="7" t="inlineStr">
        <is>
          <t>Sold</t>
        </is>
      </c>
      <c r="BS2" s="7" t="inlineStr">
        <is>
          <t>On Hand</t>
        </is>
      </c>
      <c r="BT2" s="7" t="inlineStr">
        <is>
          <t>Sold</t>
        </is>
      </c>
      <c r="BU2" s="7" t="inlineStr">
        <is>
          <t>On Hand</t>
        </is>
      </c>
      <c r="BV2" s="7" t="inlineStr">
        <is>
          <t>Sold</t>
        </is>
      </c>
      <c r="BW2" s="7" t="inlineStr">
        <is>
          <t>On Hand</t>
        </is>
      </c>
      <c r="BX2" s="7" t="inlineStr">
        <is>
          <t>Sold</t>
        </is>
      </c>
      <c r="BY2" s="7" t="inlineStr">
        <is>
          <t>On Hand</t>
        </is>
      </c>
      <c r="BZ2" s="7" t="inlineStr">
        <is>
          <t>Sold</t>
        </is>
      </c>
      <c r="CA2" s="7" t="inlineStr">
        <is>
          <t>On Hand</t>
        </is>
      </c>
      <c r="CB2" s="7" t="inlineStr">
        <is>
          <t>Sold</t>
        </is>
      </c>
      <c r="CC2" s="7" t="inlineStr">
        <is>
          <t>On Hand</t>
        </is>
      </c>
      <c r="CD2" s="7" t="inlineStr">
        <is>
          <t>Sold</t>
        </is>
      </c>
      <c r="CE2" s="7" t="inlineStr">
        <is>
          <t>On Hand</t>
        </is>
      </c>
      <c r="CF2" s="7" t="inlineStr">
        <is>
          <t>Sold</t>
        </is>
      </c>
      <c r="CG2" s="7" t="inlineStr">
        <is>
          <t>On Hand</t>
        </is>
      </c>
      <c r="CH2" s="7" t="inlineStr">
        <is>
          <t>Sold</t>
        </is>
      </c>
      <c r="CI2" s="7" t="inlineStr">
        <is>
          <t>On Hand</t>
        </is>
      </c>
      <c r="CJ2" s="7" t="inlineStr">
        <is>
          <t>Sold</t>
        </is>
      </c>
      <c r="CK2" s="7" t="inlineStr">
        <is>
          <t>On Hand</t>
        </is>
      </c>
      <c r="CL2" s="7" t="inlineStr">
        <is>
          <t>Sold</t>
        </is>
      </c>
      <c r="CM2" s="7" t="inlineStr">
        <is>
          <t>On Hand</t>
        </is>
      </c>
      <c r="CN2" s="7" t="inlineStr">
        <is>
          <t>Sold</t>
        </is>
      </c>
      <c r="CO2" s="7" t="inlineStr">
        <is>
          <t>On Hand</t>
        </is>
      </c>
      <c r="CP2" s="7" t="inlineStr">
        <is>
          <t>Sold</t>
        </is>
      </c>
      <c r="CQ2" s="6" t="n"/>
      <c r="CR2" s="6" t="n"/>
      <c r="CS2" s="6" t="n"/>
      <c r="CT2" s="6" t="n"/>
      <c r="CU2" s="6" t="n"/>
      <c r="CV2" s="6" t="n"/>
      <c r="CW2" s="6" t="n"/>
      <c r="CX2" s="6" t="n"/>
    </row>
    <row r="3">
      <c r="A3" s="9" t="inlineStr">
        <is>
          <t>4505-308463</t>
        </is>
      </c>
      <c r="B3" s="9" t="inlineStr">
        <is>
          <t>4897110030180</t>
        </is>
      </c>
      <c r="C3" s="10" t="n"/>
      <c r="D3" s="11" t="inlineStr">
        <is>
          <t>Carsil collagen hair mask 500 ml</t>
        </is>
      </c>
      <c r="E3" s="10" t="inlineStr">
        <is>
          <t>كارسيل ماسك الشعر بالكولاجين 500 مل</t>
        </is>
      </c>
      <c r="F3" s="9" t="inlineStr">
        <is>
          <t>PC</t>
        </is>
      </c>
      <c r="G3" s="10" t="inlineStr">
        <is>
          <t>SG0040-OTHER PRODUCTS, DORAR CARE</t>
        </is>
      </c>
      <c r="H3" s="9" t="inlineStr">
        <is>
          <t>Sales VAT 15%</t>
        </is>
      </c>
      <c r="I3" s="9" t="inlineStr">
        <is>
          <t>PUR Local VAT15%</t>
        </is>
      </c>
      <c r="J3" s="12" t="n">
        <v>22.8783</v>
      </c>
      <c r="K3" s="12" t="n">
        <v>60</v>
      </c>
      <c r="L3" s="13" t="n">
        <v>0.6187</v>
      </c>
      <c r="M3" s="12" t="n">
        <v>30</v>
      </c>
      <c r="N3" s="12" t="n">
        <v>60</v>
      </c>
      <c r="O3" s="12" t="n">
        <v>0</v>
      </c>
      <c r="P3" s="13" t="n">
        <v>0.5</v>
      </c>
      <c r="Q3" s="9" t="inlineStr">
        <is>
          <t>سعر ثابت</t>
        </is>
      </c>
      <c r="R3" s="9" t="inlineStr">
        <is>
          <t>-</t>
        </is>
      </c>
      <c r="S3" s="12">
        <f>IF(AA3&gt;0, AA3, J3)</f>
        <v/>
      </c>
      <c r="T3" s="13">
        <f>IF(K3&gt;0, ((K3/1.15)-S3)/(K3/1.15), 0)</f>
        <v/>
      </c>
      <c r="U3" s="12">
        <f>ROUND((S3/0.80)*1.15, 2)</f>
        <v/>
      </c>
      <c r="V3" s="14" t="n">
        <v>267</v>
      </c>
      <c r="W3" s="14" t="n">
        <v>663</v>
      </c>
      <c r="X3" s="11" t="inlineStr">
        <is>
          <t xml:space="preserve"> [905-165] Dorar Care Company</t>
        </is>
      </c>
      <c r="Y3" s="12" t="n">
        <v>52</v>
      </c>
      <c r="Z3" s="15" t="n">
        <v>0</v>
      </c>
      <c r="AA3" s="12" t="n">
        <v>52</v>
      </c>
      <c r="AB3" s="16" t="n">
        <v>45525</v>
      </c>
      <c r="AC3" s="16" t="n">
        <v>45463</v>
      </c>
      <c r="AD3" s="14" t="n">
        <v>2317</v>
      </c>
      <c r="AE3" s="14" t="n">
        <v>4</v>
      </c>
      <c r="AF3" s="14" t="n">
        <v>18</v>
      </c>
      <c r="AG3" s="14" t="n">
        <v>0</v>
      </c>
      <c r="AH3" s="14" t="n">
        <v>115</v>
      </c>
      <c r="AI3" s="14" t="n">
        <v>2</v>
      </c>
      <c r="AJ3" s="14" t="n">
        <v>34</v>
      </c>
      <c r="AK3" s="14" t="n">
        <v>3</v>
      </c>
      <c r="AL3" s="14" t="n">
        <v>54</v>
      </c>
      <c r="AM3" s="14" t="n">
        <v>0</v>
      </c>
      <c r="AN3" s="14" t="n">
        <v>0</v>
      </c>
      <c r="AO3" s="14" t="n">
        <v>7</v>
      </c>
      <c r="AP3" s="14" t="n">
        <v>74</v>
      </c>
      <c r="AQ3" s="14" t="n">
        <v>1</v>
      </c>
      <c r="AR3" s="14" t="n">
        <v>60</v>
      </c>
      <c r="AS3" s="14" t="n">
        <v>8</v>
      </c>
      <c r="AT3" s="14" t="n">
        <v>56</v>
      </c>
      <c r="AU3" s="14" t="n">
        <v>26</v>
      </c>
      <c r="AV3" s="14" t="n">
        <v>25</v>
      </c>
      <c r="AW3" s="14" t="n">
        <v>0</v>
      </c>
      <c r="AX3" s="14" t="n">
        <v>28</v>
      </c>
      <c r="AY3" s="14" t="n">
        <v>7</v>
      </c>
      <c r="AZ3" s="14" t="n">
        <v>38</v>
      </c>
      <c r="BA3" s="14" t="n">
        <v>9</v>
      </c>
      <c r="BB3" s="14" t="n">
        <v>11</v>
      </c>
      <c r="BC3" s="14" t="n">
        <v>3</v>
      </c>
      <c r="BD3" s="14" t="n">
        <v>38</v>
      </c>
      <c r="BE3" s="14" t="n">
        <v>6</v>
      </c>
      <c r="BF3" s="14" t="n">
        <v>15</v>
      </c>
      <c r="BG3" s="14" t="n">
        <v>5</v>
      </c>
      <c r="BH3" s="14" t="n">
        <v>50</v>
      </c>
      <c r="BI3" s="14" t="n">
        <v>1</v>
      </c>
      <c r="BJ3" s="14" t="n">
        <v>8</v>
      </c>
      <c r="BK3" s="14" t="n">
        <v>30</v>
      </c>
      <c r="BL3" s="14" t="n">
        <v>39</v>
      </c>
      <c r="BM3" s="14" t="n">
        <v>0</v>
      </c>
      <c r="BN3" s="14" t="n">
        <v>0</v>
      </c>
      <c r="BO3" s="14" t="n">
        <v>112</v>
      </c>
      <c r="BP3" s="14" t="n">
        <v>545</v>
      </c>
      <c r="BQ3" s="14" t="n">
        <v>15</v>
      </c>
      <c r="BR3" s="14" t="n">
        <v>39</v>
      </c>
      <c r="BS3" s="14" t="n">
        <v>0</v>
      </c>
      <c r="BT3" s="14" t="n">
        <v>93</v>
      </c>
      <c r="BU3" s="14" t="n">
        <v>1</v>
      </c>
      <c r="BV3" s="14" t="n">
        <v>28</v>
      </c>
      <c r="BW3" s="14" t="n">
        <v>0</v>
      </c>
      <c r="BX3" s="14" t="n">
        <v>6</v>
      </c>
      <c r="BY3" s="14" t="n">
        <v>0</v>
      </c>
      <c r="BZ3" s="14" t="n">
        <v>0</v>
      </c>
      <c r="CA3" s="14" t="n">
        <v>0</v>
      </c>
      <c r="CB3" s="14" t="n">
        <v>0</v>
      </c>
      <c r="CC3" s="14" t="n">
        <v>9</v>
      </c>
      <c r="CD3" s="14" t="n">
        <v>11</v>
      </c>
      <c r="CE3" s="14" t="n">
        <v>1</v>
      </c>
      <c r="CF3" s="14" t="n">
        <v>23</v>
      </c>
      <c r="CG3" s="14" t="n">
        <v>0</v>
      </c>
      <c r="CH3" s="14" t="n">
        <v>0</v>
      </c>
      <c r="CI3" s="14" t="n">
        <v>0</v>
      </c>
      <c r="CJ3" s="14" t="n">
        <v>0</v>
      </c>
      <c r="CK3" s="14" t="n">
        <v>0</v>
      </c>
      <c r="CL3" s="14" t="n">
        <v>0</v>
      </c>
      <c r="CM3" s="14" t="n">
        <v>0</v>
      </c>
      <c r="CN3" s="14" t="n">
        <v>0</v>
      </c>
      <c r="CO3" s="14" t="n">
        <v>14</v>
      </c>
      <c r="CP3" s="14" t="n">
        <v>34</v>
      </c>
      <c r="CQ3" s="14" t="n">
        <v>264</v>
      </c>
      <c r="CR3" s="14" t="n">
        <v>1442</v>
      </c>
      <c r="CS3" s="14" t="n">
        <v>67</v>
      </c>
      <c r="CT3" s="17" t="inlineStr">
        <is>
          <t>سريع الحركة</t>
        </is>
      </c>
      <c r="CU3" s="14" t="n">
        <v>0</v>
      </c>
      <c r="CV3" s="12" t="n">
        <v>0</v>
      </c>
      <c r="CW3" s="18" t="inlineStr">
        <is>
          <t>C</t>
        </is>
      </c>
      <c r="CX3" s="9" t="inlineStr">
        <is>
          <t>من سوق الشاطئ (9) إلى البطاطي | من مكة العزيزة (8) إلى الخزان</t>
        </is>
      </c>
    </row>
    <row r="4" ht="22" customHeight="1">
      <c r="A4" s="19">
        <f>SUBTOTAL(103, A3:A3)</f>
        <v/>
      </c>
      <c r="B4" s="20" t="n"/>
      <c r="C4" s="21" t="n"/>
      <c r="D4" s="22" t="n"/>
      <c r="E4" s="21" t="inlineStr">
        <is>
          <t>▶ الإجماليات</t>
        </is>
      </c>
      <c r="F4" s="20" t="n"/>
      <c r="G4" s="21" t="n"/>
      <c r="H4" s="20" t="n"/>
      <c r="I4" s="20" t="n"/>
      <c r="J4" s="21" t="n"/>
      <c r="K4" s="21" t="n"/>
      <c r="L4" s="20" t="n"/>
      <c r="M4" s="21" t="n"/>
      <c r="N4" s="21" t="n"/>
      <c r="O4" s="21" t="n"/>
      <c r="P4" s="20" t="n"/>
      <c r="Q4" s="20" t="n"/>
      <c r="R4" s="20" t="n"/>
      <c r="S4" s="21" t="n"/>
      <c r="T4" s="20" t="n"/>
      <c r="U4" s="21" t="n"/>
      <c r="V4" s="19">
        <f>SUBTOTAL(9, V3:V3)</f>
        <v/>
      </c>
      <c r="W4" s="19">
        <f>SUBTOTAL(9, W3:W3)</f>
        <v/>
      </c>
      <c r="X4" s="22" t="n"/>
      <c r="Y4" s="21" t="n"/>
      <c r="Z4" s="20" t="n"/>
      <c r="AA4" s="21" t="n"/>
      <c r="AB4" s="20" t="n"/>
      <c r="AC4" s="20" t="n"/>
      <c r="AD4" s="19">
        <f>SUBTOTAL(9, AD3:AD3)</f>
        <v/>
      </c>
      <c r="AE4" s="19">
        <f>SUBTOTAL(9, AE3:AE3)</f>
        <v/>
      </c>
      <c r="AF4" s="19">
        <f>SUBTOTAL(9, AF3:AF3)</f>
        <v/>
      </c>
      <c r="AG4" s="19">
        <f>SUBTOTAL(9, AG3:AG3)</f>
        <v/>
      </c>
      <c r="AH4" s="19">
        <f>SUBTOTAL(9, AH3:AH3)</f>
        <v/>
      </c>
      <c r="AI4" s="19">
        <f>SUBTOTAL(9, AI3:AI3)</f>
        <v/>
      </c>
      <c r="AJ4" s="19">
        <f>SUBTOTAL(9, AJ3:AJ3)</f>
        <v/>
      </c>
      <c r="AK4" s="19">
        <f>SUBTOTAL(9, AK3:AK3)</f>
        <v/>
      </c>
      <c r="AL4" s="19">
        <f>SUBTOTAL(9, AL3:AL3)</f>
        <v/>
      </c>
      <c r="AM4" s="19">
        <f>SUBTOTAL(9, AM3:AM3)</f>
        <v/>
      </c>
      <c r="AN4" s="19">
        <f>SUBTOTAL(9, AN3:AN3)</f>
        <v/>
      </c>
      <c r="AO4" s="19">
        <f>SUBTOTAL(9, AO3:AO3)</f>
        <v/>
      </c>
      <c r="AP4" s="19">
        <f>SUBTOTAL(9, AP3:AP3)</f>
        <v/>
      </c>
      <c r="AQ4" s="19">
        <f>SUBTOTAL(9, AQ3:AQ3)</f>
        <v/>
      </c>
      <c r="AR4" s="19">
        <f>SUBTOTAL(9, AR3:AR3)</f>
        <v/>
      </c>
      <c r="AS4" s="19">
        <f>SUBTOTAL(9, AS3:AS3)</f>
        <v/>
      </c>
      <c r="AT4" s="19">
        <f>SUBTOTAL(9, AT3:AT3)</f>
        <v/>
      </c>
      <c r="AU4" s="19">
        <f>SUBTOTAL(9, AU3:AU3)</f>
        <v/>
      </c>
      <c r="AV4" s="19">
        <f>SUBTOTAL(9, AV3:AV3)</f>
        <v/>
      </c>
      <c r="AW4" s="19">
        <f>SUBTOTAL(9, AW3:AW3)</f>
        <v/>
      </c>
      <c r="AX4" s="19">
        <f>SUBTOTAL(9, AX3:AX3)</f>
        <v/>
      </c>
      <c r="AY4" s="19">
        <f>SUBTOTAL(9, AY3:AY3)</f>
        <v/>
      </c>
      <c r="AZ4" s="19">
        <f>SUBTOTAL(9, AZ3:AZ3)</f>
        <v/>
      </c>
      <c r="BA4" s="19">
        <f>SUBTOTAL(9, BA3:BA3)</f>
        <v/>
      </c>
      <c r="BB4" s="19">
        <f>SUBTOTAL(9, BB3:BB3)</f>
        <v/>
      </c>
      <c r="BC4" s="19">
        <f>SUBTOTAL(9, BC3:BC3)</f>
        <v/>
      </c>
      <c r="BD4" s="19">
        <f>SUBTOTAL(9, BD3:BD3)</f>
        <v/>
      </c>
      <c r="BE4" s="19">
        <f>SUBTOTAL(9, BE3:BE3)</f>
        <v/>
      </c>
      <c r="BF4" s="19">
        <f>SUBTOTAL(9, BF3:BF3)</f>
        <v/>
      </c>
      <c r="BG4" s="19">
        <f>SUBTOTAL(9, BG3:BG3)</f>
        <v/>
      </c>
      <c r="BH4" s="19">
        <f>SUBTOTAL(9, BH3:BH3)</f>
        <v/>
      </c>
      <c r="BI4" s="19">
        <f>SUBTOTAL(9, BI3:BI3)</f>
        <v/>
      </c>
      <c r="BJ4" s="19">
        <f>SUBTOTAL(9, BJ3:BJ3)</f>
        <v/>
      </c>
      <c r="BK4" s="19">
        <f>SUBTOTAL(9, BK3:BK3)</f>
        <v/>
      </c>
      <c r="BL4" s="19">
        <f>SUBTOTAL(9, BL3:BL3)</f>
        <v/>
      </c>
      <c r="BM4" s="19">
        <f>SUBTOTAL(9, BM3:BM3)</f>
        <v/>
      </c>
      <c r="BN4" s="19">
        <f>SUBTOTAL(9, BN3:BN3)</f>
        <v/>
      </c>
      <c r="BO4" s="19">
        <f>SUBTOTAL(9, BO3:BO3)</f>
        <v/>
      </c>
      <c r="BP4" s="19">
        <f>SUBTOTAL(9, BP3:BP3)</f>
        <v/>
      </c>
      <c r="BQ4" s="19">
        <f>SUBTOTAL(9, BQ3:BQ3)</f>
        <v/>
      </c>
      <c r="BR4" s="19">
        <f>SUBTOTAL(9, BR3:BR3)</f>
        <v/>
      </c>
      <c r="BS4" s="19">
        <f>SUBTOTAL(9, BS3:BS3)</f>
        <v/>
      </c>
      <c r="BT4" s="19">
        <f>SUBTOTAL(9, BT3:BT3)</f>
        <v/>
      </c>
      <c r="BU4" s="19">
        <f>SUBTOTAL(9, BU3:BU3)</f>
        <v/>
      </c>
      <c r="BV4" s="19">
        <f>SUBTOTAL(9, BV3:BV3)</f>
        <v/>
      </c>
      <c r="BW4" s="19">
        <f>SUBTOTAL(9, BW3:BW3)</f>
        <v/>
      </c>
      <c r="BX4" s="19">
        <f>SUBTOTAL(9, BX3:BX3)</f>
        <v/>
      </c>
      <c r="BY4" s="19">
        <f>SUBTOTAL(9, BY3:BY3)</f>
        <v/>
      </c>
      <c r="BZ4" s="19">
        <f>SUBTOTAL(9, BZ3:BZ3)</f>
        <v/>
      </c>
      <c r="CA4" s="19">
        <f>SUBTOTAL(9, CA3:CA3)</f>
        <v/>
      </c>
      <c r="CB4" s="19">
        <f>SUBTOTAL(9, CB3:CB3)</f>
        <v/>
      </c>
      <c r="CC4" s="19">
        <f>SUBTOTAL(9, CC3:CC3)</f>
        <v/>
      </c>
      <c r="CD4" s="19">
        <f>SUBTOTAL(9, CD3:CD3)</f>
        <v/>
      </c>
      <c r="CE4" s="19">
        <f>SUBTOTAL(9, CE3:CE3)</f>
        <v/>
      </c>
      <c r="CF4" s="19">
        <f>SUBTOTAL(9, CF3:CF3)</f>
        <v/>
      </c>
      <c r="CG4" s="19">
        <f>SUBTOTAL(9, CG3:CG3)</f>
        <v/>
      </c>
      <c r="CH4" s="19">
        <f>SUBTOTAL(9, CH3:CH3)</f>
        <v/>
      </c>
      <c r="CI4" s="19">
        <f>SUBTOTAL(9, CI3:CI3)</f>
        <v/>
      </c>
      <c r="CJ4" s="19">
        <f>SUBTOTAL(9, CJ3:CJ3)</f>
        <v/>
      </c>
      <c r="CK4" s="19">
        <f>SUBTOTAL(9, CK3:CK3)</f>
        <v/>
      </c>
      <c r="CL4" s="19">
        <f>SUBTOTAL(9, CL3:CL3)</f>
        <v/>
      </c>
      <c r="CM4" s="19">
        <f>SUBTOTAL(9, CM3:CM3)</f>
        <v/>
      </c>
      <c r="CN4" s="19">
        <f>SUBTOTAL(9, CN3:CN3)</f>
        <v/>
      </c>
      <c r="CO4" s="19">
        <f>SUBTOTAL(9, CO3:CO3)</f>
        <v/>
      </c>
      <c r="CP4" s="19">
        <f>SUBTOTAL(9, CP3:CP3)</f>
        <v/>
      </c>
      <c r="CQ4" s="19">
        <f>SUBTOTAL(9, CQ3:CQ3)</f>
        <v/>
      </c>
      <c r="CR4" s="19">
        <f>SUBTOTAL(9, CR3:CR3)</f>
        <v/>
      </c>
      <c r="CS4" s="20" t="n"/>
      <c r="CT4" s="20" t="n"/>
      <c r="CU4" s="19">
        <f>SUBTOTAL(9, CU3:CU3)</f>
        <v/>
      </c>
      <c r="CV4" s="23">
        <f>SUBTOTAL(9, CV3:CV3)</f>
        <v/>
      </c>
      <c r="CW4" s="20" t="n"/>
      <c r="CX4" s="20" t="n"/>
    </row>
  </sheetData>
  <mergeCells count="70">
    <mergeCell ref="BY1:BZ1"/>
    <mergeCell ref="AB1:AB2"/>
    <mergeCell ref="AD1:AD2"/>
    <mergeCell ref="AG1:AH1"/>
    <mergeCell ref="CU1:CU2"/>
    <mergeCell ref="AI1:AJ1"/>
    <mergeCell ref="CW1:CW2"/>
    <mergeCell ref="CI1:CJ1"/>
    <mergeCell ref="C1:C2"/>
    <mergeCell ref="AS1:AT1"/>
    <mergeCell ref="CA1:CB1"/>
    <mergeCell ref="E1:E2"/>
    <mergeCell ref="K1:K2"/>
    <mergeCell ref="V1:V2"/>
    <mergeCell ref="AU1:AV1"/>
    <mergeCell ref="M1:M2"/>
    <mergeCell ref="CC1:CD1"/>
    <mergeCell ref="O1:O2"/>
    <mergeCell ref="CK1:CL1"/>
    <mergeCell ref="CO1:CP1"/>
    <mergeCell ref="Q1:Q2"/>
    <mergeCell ref="W1:W2"/>
    <mergeCell ref="Y1:Y2"/>
    <mergeCell ref="AA1:AA2"/>
    <mergeCell ref="CR1:CR2"/>
    <mergeCell ref="CV1:CV2"/>
    <mergeCell ref="BE1:BF1"/>
    <mergeCell ref="CX1:CX2"/>
    <mergeCell ref="BG1:BH1"/>
    <mergeCell ref="BM1:BN1"/>
    <mergeCell ref="B1:B2"/>
    <mergeCell ref="BQ1:BR1"/>
    <mergeCell ref="L1:L2"/>
    <mergeCell ref="AC1:AC2"/>
    <mergeCell ref="BS1:BT1"/>
    <mergeCell ref="N1:N2"/>
    <mergeCell ref="T1:T2"/>
    <mergeCell ref="AM1:AN1"/>
    <mergeCell ref="BU1:BV1"/>
    <mergeCell ref="X1:X2"/>
    <mergeCell ref="CQ1:CQ2"/>
    <mergeCell ref="CS1:CS2"/>
    <mergeCell ref="AK1:AL1"/>
    <mergeCell ref="AO1:AP1"/>
    <mergeCell ref="AE1:AF1"/>
    <mergeCell ref="CM1:CN1"/>
    <mergeCell ref="G1:G2"/>
    <mergeCell ref="AQ1:AR1"/>
    <mergeCell ref="AW1:AX1"/>
    <mergeCell ref="I1:I2"/>
    <mergeCell ref="Z1:Z2"/>
    <mergeCell ref="AY1:AZ1"/>
    <mergeCell ref="A1:A2"/>
    <mergeCell ref="CE1:CF1"/>
    <mergeCell ref="CG1:CH1"/>
    <mergeCell ref="S1:S2"/>
    <mergeCell ref="U1:U2"/>
    <mergeCell ref="BA1:BB1"/>
    <mergeCell ref="CT1:CT2"/>
    <mergeCell ref="BC1:BD1"/>
    <mergeCell ref="BI1:BJ1"/>
    <mergeCell ref="D1:D2"/>
    <mergeCell ref="BK1:BL1"/>
    <mergeCell ref="F1:F2"/>
    <mergeCell ref="H1:H2"/>
    <mergeCell ref="BO1:BP1"/>
    <mergeCell ref="J1:J2"/>
    <mergeCell ref="P1:P2"/>
    <mergeCell ref="BW1:BX1"/>
    <mergeCell ref="R1: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rightToLeft="1" workbookViewId="0">
      <selection activeCell="A1" sqref="A1"/>
    </sheetView>
  </sheetViews>
  <sheetFormatPr baseColWidth="8" defaultRowHeight="15"/>
  <cols>
    <col width="14" customWidth="1" min="1" max="1"/>
    <col width="28" customWidth="1" min="2" max="2"/>
    <col width="16" customWidth="1" min="3" max="3"/>
    <col width="20" customWidth="1" min="4" max="4"/>
    <col width="26" customWidth="1" min="5" max="5"/>
    <col width="26" customWidth="1" min="6" max="6"/>
    <col width="20" customWidth="1" min="7" max="7"/>
  </cols>
  <sheetData>
    <row r="1" ht="26" customHeight="1">
      <c r="A1" s="24" t="inlineStr">
        <is>
          <t>كود الفرع</t>
        </is>
      </c>
      <c r="B1" s="24" t="inlineStr">
        <is>
          <t>اسم المعرض / الفرع</t>
        </is>
      </c>
      <c r="C1" s="24" t="inlineStr">
        <is>
          <t>تصنيف الفرع</t>
        </is>
      </c>
      <c r="D1" s="24" t="inlineStr">
        <is>
          <t>إجمالي الرصيد (قطع)</t>
        </is>
      </c>
      <c r="E1" s="24" t="inlineStr">
        <is>
          <t>قيمة المخزون بالتكلفة (ر.س)</t>
        </is>
      </c>
      <c r="F1" s="24" t="inlineStr">
        <is>
          <t>قيمة المبيعات بالبيع (ر.س)</t>
        </is>
      </c>
      <c r="G1" s="24" t="inlineStr">
        <is>
          <t>إجمالي المبيعات (قطع)</t>
        </is>
      </c>
    </row>
    <row r="2" ht="18" customHeight="1">
      <c r="A2" s="25" t="inlineStr">
        <is>
          <t>128</t>
        </is>
      </c>
      <c r="B2" s="26" t="inlineStr">
        <is>
          <t>سوق الشاطئ</t>
        </is>
      </c>
      <c r="C2" s="25" t="inlineStr">
        <is>
          <t>🌿 عناية</t>
        </is>
      </c>
      <c r="D2" s="27" t="n">
        <v>112</v>
      </c>
      <c r="E2" s="28" t="n">
        <v>2562.3696</v>
      </c>
      <c r="F2" s="28" t="n">
        <v>32700</v>
      </c>
      <c r="G2" s="27" t="n">
        <v>545</v>
      </c>
    </row>
    <row r="3" ht="18" customHeight="1">
      <c r="A3" s="29" t="inlineStr">
        <is>
          <t>125</t>
        </is>
      </c>
      <c r="B3" s="30" t="inlineStr">
        <is>
          <t>معرض مكة العزيزة</t>
        </is>
      </c>
      <c r="C3" s="29" t="inlineStr">
        <is>
          <t>🏬 معارض</t>
        </is>
      </c>
      <c r="D3" s="31" t="n">
        <v>30</v>
      </c>
      <c r="E3" s="32" t="n">
        <v>686.3489999999999</v>
      </c>
      <c r="F3" s="32" t="n">
        <v>2340</v>
      </c>
      <c r="G3" s="31" t="n">
        <v>39</v>
      </c>
    </row>
    <row r="4" ht="18" customHeight="1">
      <c r="A4" s="33" t="inlineStr">
        <is>
          <t>115</t>
        </is>
      </c>
      <c r="B4" s="34" t="inlineStr">
        <is>
          <t>معرض مكة الستين</t>
        </is>
      </c>
      <c r="C4" s="33" t="inlineStr">
        <is>
          <t>🏬 معارض</t>
        </is>
      </c>
      <c r="D4" s="14" t="n">
        <v>26</v>
      </c>
      <c r="E4" s="12" t="n">
        <v>594.8357999999999</v>
      </c>
      <c r="F4" s="12" t="n">
        <v>1500</v>
      </c>
      <c r="G4" s="14" t="n">
        <v>25</v>
      </c>
    </row>
    <row r="5" ht="18" customHeight="1">
      <c r="A5" s="29" t="inlineStr">
        <is>
          <t>129</t>
        </is>
      </c>
      <c r="B5" s="30" t="inlineStr">
        <is>
          <t>معرض المكرونة 2</t>
        </is>
      </c>
      <c r="C5" s="29" t="inlineStr">
        <is>
          <t>🏬 معارض</t>
        </is>
      </c>
      <c r="D5" s="31" t="n">
        <v>15</v>
      </c>
      <c r="E5" s="32" t="n">
        <v>343.1745</v>
      </c>
      <c r="F5" s="32" t="n">
        <v>2340</v>
      </c>
      <c r="G5" s="31" t="n">
        <v>39</v>
      </c>
    </row>
    <row r="6" ht="18" customHeight="1">
      <c r="A6" s="33" t="inlineStr">
        <is>
          <t>NORYA</t>
        </is>
      </c>
      <c r="B6" s="34" t="inlineStr">
        <is>
          <t>فرع النورية</t>
        </is>
      </c>
      <c r="C6" s="33" t="inlineStr">
        <is>
          <t>🏬 معارض</t>
        </is>
      </c>
      <c r="D6" s="14" t="n">
        <v>14</v>
      </c>
      <c r="E6" s="12" t="n">
        <v>320.2962</v>
      </c>
      <c r="F6" s="12" t="n">
        <v>2040</v>
      </c>
      <c r="G6" s="14" t="n">
        <v>34</v>
      </c>
    </row>
    <row r="7" ht="18" customHeight="1">
      <c r="A7" s="29" t="inlineStr">
        <is>
          <t>119</t>
        </is>
      </c>
      <c r="B7" s="30" t="inlineStr">
        <is>
          <t>معرض ينبع</t>
        </is>
      </c>
      <c r="C7" s="29" t="inlineStr">
        <is>
          <t>🏬 معارض</t>
        </is>
      </c>
      <c r="D7" s="31" t="n">
        <v>9</v>
      </c>
      <c r="E7" s="32" t="n">
        <v>205.9047</v>
      </c>
      <c r="F7" s="32" t="n">
        <v>660</v>
      </c>
      <c r="G7" s="31" t="n">
        <v>11</v>
      </c>
    </row>
    <row r="8" ht="18" customHeight="1">
      <c r="A8" s="33" t="inlineStr">
        <is>
          <t>151</t>
        </is>
      </c>
      <c r="B8" s="34" t="inlineStr">
        <is>
          <t>معرض العسكرية</t>
        </is>
      </c>
      <c r="C8" s="33" t="inlineStr">
        <is>
          <t>🏬 معارض</t>
        </is>
      </c>
      <c r="D8" s="14" t="n">
        <v>9</v>
      </c>
      <c r="E8" s="12" t="n">
        <v>205.9047</v>
      </c>
      <c r="F8" s="12" t="n">
        <v>660</v>
      </c>
      <c r="G8" s="14" t="n">
        <v>11</v>
      </c>
    </row>
    <row r="9" ht="18" customHeight="1">
      <c r="A9" s="29" t="inlineStr">
        <is>
          <t>112</t>
        </is>
      </c>
      <c r="B9" s="30" t="inlineStr">
        <is>
          <t>معرض البوادي</t>
        </is>
      </c>
      <c r="C9" s="29" t="inlineStr">
        <is>
          <t>🏬 معارض</t>
        </is>
      </c>
      <c r="D9" s="31" t="n">
        <v>8</v>
      </c>
      <c r="E9" s="32" t="n">
        <v>183.0264</v>
      </c>
      <c r="F9" s="32" t="n">
        <v>3360</v>
      </c>
      <c r="G9" s="31" t="n">
        <v>56</v>
      </c>
    </row>
    <row r="10" ht="18" customHeight="1">
      <c r="A10" s="25" t="inlineStr">
        <is>
          <t>106</t>
        </is>
      </c>
      <c r="B10" s="26" t="inlineStr">
        <is>
          <t>معرض الصفاء</t>
        </is>
      </c>
      <c r="C10" s="25" t="inlineStr">
        <is>
          <t>🌿 عناية</t>
        </is>
      </c>
      <c r="D10" s="27" t="n">
        <v>7</v>
      </c>
      <c r="E10" s="28" t="n">
        <v>160.1481</v>
      </c>
      <c r="F10" s="28" t="n">
        <v>4440</v>
      </c>
      <c r="G10" s="27" t="n">
        <v>74</v>
      </c>
    </row>
    <row r="11" ht="18" customHeight="1">
      <c r="A11" s="25" t="inlineStr">
        <is>
          <t>118</t>
        </is>
      </c>
      <c r="B11" s="26" t="inlineStr">
        <is>
          <t>معرض الطايف</t>
        </is>
      </c>
      <c r="C11" s="25" t="inlineStr">
        <is>
          <t>🌿 عناية</t>
        </is>
      </c>
      <c r="D11" s="27" t="n">
        <v>7</v>
      </c>
      <c r="E11" s="28" t="n">
        <v>160.1481</v>
      </c>
      <c r="F11" s="28" t="n">
        <v>2280</v>
      </c>
      <c r="G11" s="27" t="n">
        <v>38</v>
      </c>
    </row>
    <row r="12" ht="18" customHeight="1">
      <c r="A12" s="33" t="inlineStr">
        <is>
          <t>121</t>
        </is>
      </c>
      <c r="B12" s="34" t="inlineStr">
        <is>
          <t>معرض الدراجة MS</t>
        </is>
      </c>
      <c r="C12" s="33" t="inlineStr">
        <is>
          <t>🏬 معارض</t>
        </is>
      </c>
      <c r="D12" s="14" t="n">
        <v>6</v>
      </c>
      <c r="E12" s="12" t="n">
        <v>137.2698</v>
      </c>
      <c r="F12" s="12" t="n">
        <v>900</v>
      </c>
      <c r="G12" s="14" t="n">
        <v>15</v>
      </c>
    </row>
    <row r="13" ht="18" customHeight="1">
      <c r="A13" s="29" t="inlineStr">
        <is>
          <t>122</t>
        </is>
      </c>
      <c r="B13" s="30" t="inlineStr">
        <is>
          <t>معرض البوادي MS</t>
        </is>
      </c>
      <c r="C13" s="29" t="inlineStr">
        <is>
          <t>🏬 معارض</t>
        </is>
      </c>
      <c r="D13" s="31" t="n">
        <v>5</v>
      </c>
      <c r="E13" s="32" t="n">
        <v>114.3915</v>
      </c>
      <c r="F13" s="32" t="n">
        <v>3000</v>
      </c>
      <c r="G13" s="31" t="n">
        <v>50</v>
      </c>
    </row>
    <row r="14" ht="18" customHeight="1">
      <c r="A14" s="33" t="inlineStr">
        <is>
          <t>101</t>
        </is>
      </c>
      <c r="B14" s="34" t="inlineStr">
        <is>
          <t>معرض الشربتلي</t>
        </is>
      </c>
      <c r="C14" s="33" t="inlineStr">
        <is>
          <t>🏬 معارض</t>
        </is>
      </c>
      <c r="D14" s="14" t="n">
        <v>4</v>
      </c>
      <c r="E14" s="12" t="n">
        <v>91.5132</v>
      </c>
      <c r="F14" s="12" t="n">
        <v>1080</v>
      </c>
      <c r="G14" s="14" t="n">
        <v>18</v>
      </c>
    </row>
    <row r="15" ht="18" customHeight="1">
      <c r="A15" s="29" t="inlineStr">
        <is>
          <t>104</t>
        </is>
      </c>
      <c r="B15" s="30" t="inlineStr">
        <is>
          <t>معرض الذهب</t>
        </is>
      </c>
      <c r="C15" s="29" t="inlineStr">
        <is>
          <t>🏬 معارض</t>
        </is>
      </c>
      <c r="D15" s="31" t="n">
        <v>3</v>
      </c>
      <c r="E15" s="32" t="n">
        <v>68.6349</v>
      </c>
      <c r="F15" s="32" t="n">
        <v>3240</v>
      </c>
      <c r="G15" s="31" t="n">
        <v>54</v>
      </c>
    </row>
    <row r="16" ht="18" customHeight="1">
      <c r="A16" s="25" t="inlineStr">
        <is>
          <t>120</t>
        </is>
      </c>
      <c r="B16" s="26" t="inlineStr">
        <is>
          <t>معرض الحمدانية</t>
        </is>
      </c>
      <c r="C16" s="25" t="inlineStr">
        <is>
          <t>🌿 عناية</t>
        </is>
      </c>
      <c r="D16" s="27" t="n">
        <v>3</v>
      </c>
      <c r="E16" s="28" t="n">
        <v>68.6349</v>
      </c>
      <c r="F16" s="28" t="n">
        <v>2280</v>
      </c>
      <c r="G16" s="27" t="n">
        <v>38</v>
      </c>
    </row>
    <row r="17" ht="18" customHeight="1">
      <c r="A17" s="29" t="inlineStr">
        <is>
          <t>103</t>
        </is>
      </c>
      <c r="B17" s="30" t="inlineStr">
        <is>
          <t>معرض الاسنوي</t>
        </is>
      </c>
      <c r="C17" s="29" t="inlineStr">
        <is>
          <t>🏬 معارض</t>
        </is>
      </c>
      <c r="D17" s="31" t="n">
        <v>2</v>
      </c>
      <c r="E17" s="32" t="n">
        <v>45.7566</v>
      </c>
      <c r="F17" s="32" t="n">
        <v>2040</v>
      </c>
      <c r="G17" s="31" t="n">
        <v>34</v>
      </c>
    </row>
    <row r="18" ht="18" customHeight="1">
      <c r="A18" s="33" t="inlineStr">
        <is>
          <t>107</t>
        </is>
      </c>
      <c r="B18" s="34" t="inlineStr">
        <is>
          <t>معرض الاوقاف</t>
        </is>
      </c>
      <c r="C18" s="33" t="inlineStr">
        <is>
          <t>🏬 معارض</t>
        </is>
      </c>
      <c r="D18" s="14" t="n">
        <v>1</v>
      </c>
      <c r="E18" s="12" t="n">
        <v>22.8783</v>
      </c>
      <c r="F18" s="12" t="n">
        <v>3600</v>
      </c>
      <c r="G18" s="14" t="n">
        <v>60</v>
      </c>
    </row>
    <row r="19" ht="18" customHeight="1">
      <c r="A19" s="29" t="inlineStr">
        <is>
          <t>123</t>
        </is>
      </c>
      <c r="B19" s="30" t="inlineStr">
        <is>
          <t>معرض قربان MS</t>
        </is>
      </c>
      <c r="C19" s="29" t="inlineStr">
        <is>
          <t>🏬 معارض</t>
        </is>
      </c>
      <c r="D19" s="31" t="n">
        <v>1</v>
      </c>
      <c r="E19" s="32" t="n">
        <v>22.8783</v>
      </c>
      <c r="F19" s="32" t="n">
        <v>480</v>
      </c>
      <c r="G19" s="31" t="n">
        <v>8</v>
      </c>
    </row>
    <row r="20" ht="18" customHeight="1">
      <c r="A20" s="33" t="inlineStr">
        <is>
          <t>132</t>
        </is>
      </c>
      <c r="B20" s="34" t="inlineStr">
        <is>
          <t>معرض المعقلية MS</t>
        </is>
      </c>
      <c r="C20" s="33" t="inlineStr">
        <is>
          <t>🏬 معارض</t>
        </is>
      </c>
      <c r="D20" s="14" t="n">
        <v>1</v>
      </c>
      <c r="E20" s="12" t="n">
        <v>22.8783</v>
      </c>
      <c r="F20" s="12" t="n">
        <v>1680</v>
      </c>
      <c r="G20" s="14" t="n">
        <v>28</v>
      </c>
    </row>
    <row r="21" ht="18" customHeight="1">
      <c r="A21" s="29" t="inlineStr">
        <is>
          <t>152</t>
        </is>
      </c>
      <c r="B21" s="30" t="inlineStr">
        <is>
          <t>معرض خميس البلد</t>
        </is>
      </c>
      <c r="C21" s="29" t="inlineStr">
        <is>
          <t>🏬 معارض</t>
        </is>
      </c>
      <c r="D21" s="31" t="n">
        <v>1</v>
      </c>
      <c r="E21" s="32" t="n">
        <v>22.8783</v>
      </c>
      <c r="F21" s="32" t="n">
        <v>1380</v>
      </c>
      <c r="G21" s="31" t="n">
        <v>23</v>
      </c>
    </row>
    <row r="22" ht="18" customHeight="1">
      <c r="A22" s="33" t="inlineStr">
        <is>
          <t>102</t>
        </is>
      </c>
      <c r="B22" s="34" t="inlineStr">
        <is>
          <t>معرض البطاطي</t>
        </is>
      </c>
      <c r="C22" s="33" t="inlineStr">
        <is>
          <t>🏬 معارض</t>
        </is>
      </c>
      <c r="D22" s="14" t="n">
        <v>0</v>
      </c>
      <c r="E22" s="12" t="n">
        <v>0</v>
      </c>
      <c r="F22" s="12" t="n">
        <v>6900</v>
      </c>
      <c r="G22" s="14" t="n">
        <v>115</v>
      </c>
    </row>
    <row r="23" ht="18" customHeight="1">
      <c r="A23" s="29" t="inlineStr">
        <is>
          <t>105</t>
        </is>
      </c>
      <c r="B23" s="30" t="inlineStr">
        <is>
          <t>معرض باناجة</t>
        </is>
      </c>
      <c r="C23" s="29" t="inlineStr">
        <is>
          <t>🏬 معارض</t>
        </is>
      </c>
      <c r="D23" s="31" t="n">
        <v>0</v>
      </c>
      <c r="E23" s="32" t="n">
        <v>0</v>
      </c>
      <c r="F23" s="32" t="n">
        <v>0</v>
      </c>
      <c r="G23" s="31" t="n">
        <v>0</v>
      </c>
    </row>
    <row r="24" ht="18" customHeight="1">
      <c r="A24" s="33" t="inlineStr">
        <is>
          <t>116</t>
        </is>
      </c>
      <c r="B24" s="34" t="inlineStr">
        <is>
          <t>معرض مكة الشرائع</t>
        </is>
      </c>
      <c r="C24" s="33" t="inlineStr">
        <is>
          <t>🏬 معارض</t>
        </is>
      </c>
      <c r="D24" s="14" t="n">
        <v>0</v>
      </c>
      <c r="E24" s="12" t="n">
        <v>0</v>
      </c>
      <c r="F24" s="12" t="n">
        <v>1680</v>
      </c>
      <c r="G24" s="14" t="n">
        <v>28</v>
      </c>
    </row>
    <row r="25" ht="18" customHeight="1">
      <c r="A25" s="29" t="inlineStr">
        <is>
          <t>127</t>
        </is>
      </c>
      <c r="B25" s="30" t="inlineStr">
        <is>
          <t>معرض الوزرية</t>
        </is>
      </c>
      <c r="C25" s="29" t="inlineStr">
        <is>
          <t>🏬 معارض</t>
        </is>
      </c>
      <c r="D25" s="31" t="n">
        <v>0</v>
      </c>
      <c r="E25" s="32" t="n">
        <v>0</v>
      </c>
      <c r="F25" s="32" t="n">
        <v>0</v>
      </c>
      <c r="G25" s="31" t="n">
        <v>0</v>
      </c>
    </row>
    <row r="26" ht="18" customHeight="1">
      <c r="A26" s="33" t="inlineStr">
        <is>
          <t>130</t>
        </is>
      </c>
      <c r="B26" s="34" t="inlineStr">
        <is>
          <t>معرض الخزان</t>
        </is>
      </c>
      <c r="C26" s="33" t="inlineStr">
        <is>
          <t>🏬 معارض</t>
        </is>
      </c>
      <c r="D26" s="14" t="n">
        <v>0</v>
      </c>
      <c r="E26" s="12" t="n">
        <v>0</v>
      </c>
      <c r="F26" s="12" t="n">
        <v>5580</v>
      </c>
      <c r="G26" s="14" t="n">
        <v>93</v>
      </c>
    </row>
    <row r="27" ht="18" customHeight="1">
      <c r="A27" s="29" t="inlineStr">
        <is>
          <t>140</t>
        </is>
      </c>
      <c r="B27" s="30" t="inlineStr">
        <is>
          <t>معرض الدمام</t>
        </is>
      </c>
      <c r="C27" s="29" t="inlineStr">
        <is>
          <t>🏬 معارض</t>
        </is>
      </c>
      <c r="D27" s="31" t="n">
        <v>0</v>
      </c>
      <c r="E27" s="32" t="n">
        <v>0</v>
      </c>
      <c r="F27" s="32" t="n">
        <v>360</v>
      </c>
      <c r="G27" s="31" t="n">
        <v>6</v>
      </c>
    </row>
    <row r="28" ht="18" customHeight="1">
      <c r="A28" s="33" t="inlineStr">
        <is>
          <t>142</t>
        </is>
      </c>
      <c r="B28" s="34" t="inlineStr">
        <is>
          <t>معرض الاحساء الهفوف</t>
        </is>
      </c>
      <c r="C28" s="33" t="inlineStr">
        <is>
          <t>🏬 معارض</t>
        </is>
      </c>
      <c r="D28" s="14" t="n">
        <v>0</v>
      </c>
      <c r="E28" s="12" t="n">
        <v>0</v>
      </c>
      <c r="F28" s="12" t="n">
        <v>0</v>
      </c>
      <c r="G28" s="14" t="n">
        <v>0</v>
      </c>
    </row>
    <row r="29" ht="18" customHeight="1">
      <c r="A29" s="29" t="inlineStr">
        <is>
          <t>143</t>
        </is>
      </c>
      <c r="B29" s="30" t="inlineStr">
        <is>
          <t>معرض الحب MS</t>
        </is>
      </c>
      <c r="C29" s="29" t="inlineStr">
        <is>
          <t>🏬 معارض</t>
        </is>
      </c>
      <c r="D29" s="31" t="n">
        <v>0</v>
      </c>
      <c r="E29" s="32" t="n">
        <v>0</v>
      </c>
      <c r="F29" s="32" t="n">
        <v>0</v>
      </c>
      <c r="G29" s="31" t="n">
        <v>0</v>
      </c>
    </row>
    <row r="30" ht="18" customHeight="1">
      <c r="A30" s="33" t="inlineStr">
        <is>
          <t>153</t>
        </is>
      </c>
      <c r="B30" s="34" t="inlineStr">
        <is>
          <t>معرض محايل عسير</t>
        </is>
      </c>
      <c r="C30" s="33" t="inlineStr">
        <is>
          <t>🏬 معارض</t>
        </is>
      </c>
      <c r="D30" s="14" t="n">
        <v>0</v>
      </c>
      <c r="E30" s="12" t="n">
        <v>0</v>
      </c>
      <c r="F30" s="12" t="n">
        <v>0</v>
      </c>
      <c r="G30" s="14" t="n">
        <v>0</v>
      </c>
    </row>
    <row r="31" ht="18" customHeight="1">
      <c r="A31" s="29" t="inlineStr">
        <is>
          <t>155</t>
        </is>
      </c>
      <c r="B31" s="30" t="inlineStr">
        <is>
          <t>معرض جيزان الاسرة</t>
        </is>
      </c>
      <c r="C31" s="29" t="inlineStr">
        <is>
          <t>🏬 معارض</t>
        </is>
      </c>
      <c r="D31" s="31" t="n">
        <v>0</v>
      </c>
      <c r="E31" s="32" t="n">
        <v>0</v>
      </c>
      <c r="F31" s="32" t="n">
        <v>0</v>
      </c>
      <c r="G31" s="31" t="n">
        <v>0</v>
      </c>
    </row>
    <row r="32" ht="18" customHeight="1">
      <c r="A32" s="33" t="inlineStr">
        <is>
          <t>157</t>
        </is>
      </c>
      <c r="B32" s="34" t="inlineStr">
        <is>
          <t>معرض صبيا</t>
        </is>
      </c>
      <c r="C32" s="33" t="inlineStr">
        <is>
          <t>🏬 معارض</t>
        </is>
      </c>
      <c r="D32" s="14" t="n">
        <v>0</v>
      </c>
      <c r="E32" s="12" t="n">
        <v>0</v>
      </c>
      <c r="F32" s="12" t="n">
        <v>0</v>
      </c>
      <c r="G32" s="14" t="n">
        <v>0</v>
      </c>
    </row>
    <row r="33" ht="18" customHeight="1">
      <c r="A33" s="29" t="inlineStr">
        <is>
          <t>MSPRT</t>
        </is>
      </c>
      <c r="B33" s="30" t="inlineStr">
        <is>
          <t>فرع مس برتي</t>
        </is>
      </c>
      <c r="C33" s="29" t="inlineStr">
        <is>
          <t>🏬 معارض</t>
        </is>
      </c>
      <c r="D33" s="31" t="n">
        <v>0</v>
      </c>
      <c r="E33" s="32" t="n">
        <v>0</v>
      </c>
      <c r="F33" s="32" t="n">
        <v>0</v>
      </c>
      <c r="G33" s="31" t="n">
        <v>0</v>
      </c>
    </row>
    <row r="34" ht="22" customHeight="1">
      <c r="A34" s="35" t="inlineStr">
        <is>
          <t>▶ الإجمالي العام</t>
        </is>
      </c>
      <c r="B34" s="36" t="inlineStr"/>
      <c r="C34" s="35" t="inlineStr"/>
      <c r="D34" s="19">
        <f>SUBTOTAL(9, D2:D33)</f>
        <v/>
      </c>
      <c r="E34" s="23">
        <f>SUBTOTAL(9, E2:E33)</f>
        <v/>
      </c>
      <c r="F34" s="23">
        <f>SUBTOTAL(9, F2:F33)</f>
        <v/>
      </c>
      <c r="G34" s="19">
        <f>SUBTOTAL(9, G2:G33)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E19"/>
  <sheetViews>
    <sheetView rightToLeft="1" workbookViewId="0">
      <pane ySplit="5" topLeftCell="A6" activePane="bottomLeft" state="frozen"/>
      <selection pane="bottomLeft" activeCell="A1" sqref="A1"/>
    </sheetView>
  </sheetViews>
  <sheetFormatPr baseColWidth="8" defaultRowHeight="15"/>
  <cols>
    <col width="26" customWidth="1" min="1" max="1"/>
    <col width="20" customWidth="1" min="2" max="2"/>
    <col width="44" customWidth="1" min="3" max="3"/>
    <col width="30" customWidth="1" min="4" max="4"/>
    <col width="52" customWidth="1" min="5" max="5"/>
  </cols>
  <sheetData>
    <row r="2" ht="36" customHeight="1">
      <c r="A2" s="37" t="inlineStr">
        <is>
          <t>📘 دليل ومنهجية الحسابات والمعايير التحليلية للتقرير</t>
        </is>
      </c>
    </row>
    <row r="3" ht="26" customHeight="1">
      <c r="A3" s="38" t="inlineStr">
        <is>
          <t>يوضح هذا الدليل الأسس والمعادلات الرياضية لجميع مؤشرات وأعمدة التقرير، ومصادر بياناتها من نظام Odoo، مع توجيهات تنفيذية لكيفية استثمارها في قرارات المشتريات والمبيعات والمخزون.</t>
        </is>
      </c>
    </row>
    <row r="5" ht="28" customHeight="1">
      <c r="A5" s="39" t="inlineStr">
        <is>
          <t>المعيار / الحقل في التقرير</t>
        </is>
      </c>
      <c r="B5" s="39" t="inlineStr">
        <is>
          <t>القسم المعني</t>
        </is>
      </c>
      <c r="C5" s="39" t="inlineStr">
        <is>
          <t>المعادلة وآلية الحساب</t>
        </is>
      </c>
      <c r="D5" s="39" t="inlineStr">
        <is>
          <t>مصدر البيانات في Odoo</t>
        </is>
      </c>
      <c r="E5" s="39" t="inlineStr">
        <is>
          <t>دلالة المؤشر والتوجيه التنفيذي</t>
        </is>
      </c>
    </row>
    <row r="6" ht="72" customHeight="1">
      <c r="A6" s="40" t="inlineStr">
        <is>
          <t>نسبة هامش الربح
Margin (%)</t>
        </is>
      </c>
      <c r="B6" s="41" t="inlineStr">
        <is>
          <t>المشتريات والمالية</t>
        </is>
      </c>
      <c r="C6" s="42" t="inlineStr">
        <is>
          <t>((سعر البيع - سعر التكلفة) / سعر البيع) × 100
تُحسب بالمعادلة المباشرة وتُنسق كنسبة مئوية بدقة 0.0%</t>
        </is>
      </c>
      <c r="D6" s="43" t="inlineStr">
        <is>
          <t>product.product:
• list_price (سعر البيع)
• standard_price (سعر التكلفة)</t>
        </is>
      </c>
      <c r="E6" s="42" t="inlineStr">
        <is>
          <t>يقيس صافي ربحية الصنف. يفيد المشتريات في مراجعة أسعار الشراء مع الموردين، ويفيد المبيعات في تجنب تقديم خصومات تخفض الهامش عن الحد الأدنى المستهدف للربحية.</t>
        </is>
      </c>
    </row>
    <row r="7" ht="144" customHeight="1">
      <c r="A7" s="44" t="inlineStr">
        <is>
          <t>أيام التغطية
Days of Inventory (DOI)</t>
        </is>
      </c>
      <c r="B7" s="45" t="inlineStr">
        <is>
          <t>المخزون والمشتريات</t>
        </is>
      </c>
      <c r="C7" s="46" t="inlineStr">
        <is>
          <t>إجمالي الرصيد القابل للبيع ÷ معدل المبيعات اليومية (365d Sold ÷ 365).
• إذا كان الرصيد = 0 يُعرض (0).
• إذا توفر مخزون دون مبيعات يُعرض (999) كدلالة على الركود.</t>
        </is>
      </c>
      <c r="D7" s="47" t="inlineStr">
        <is>
          <t>• stock.quant (المخزون المتوفر)
• pos.order.line (مبيعات السنة)</t>
        </is>
      </c>
      <c r="E7" s="46" t="inlineStr">
        <is>
          <t>يقيس عدد الأيام التي يكفيها الرصيد الحالي:
• أقل من 30 يوماً: خطر نفاد وشيك يتطلب الشراء الفوري.
• 30 إلى 90 يوماً: مخزون مثالي ومتوازن.
• أكثر من 120 يوماً: تضخم مخزون وركود يستوجب التخفيض أو المناقلة.</t>
        </is>
      </c>
    </row>
    <row r="8" ht="126" customHeight="1">
      <c r="A8" s="40" t="inlineStr">
        <is>
          <t>حالة الصنف
Movement Status</t>
        </is>
      </c>
      <c r="B8" s="41" t="inlineStr">
        <is>
          <t>المشتريات والمبيعات والمستودعات</t>
        </is>
      </c>
      <c r="C8" s="42" t="inlineStr">
        <is>
          <t>تصنيف ديناميكي بناءً على الرصيد ومعدل الحركة وأيام التغطية:
• نفاذ مخزون (Out of Stock): رصيد 0 مع حركة سابقة.
• قاربت على النفاذ (Low Stock): رصيد متوفر وتغطية ≤ 30 يوم.
• راكد (Stagnant): مخزون بلا مبيعات أو تغطية ≥ 180 يوم.
• سريع الحركة (Fast Moving): مبيعات عالية وتغطية منتظمة.
• فائض (Surplus): تغطية &gt; 120 يوم.
• متوازن (Balanced): تغطية بين 30 و 120 يوم.</t>
        </is>
      </c>
      <c r="D8" s="43" t="inlineStr">
        <is>
          <t>مؤشر مركب من:
• stock.quant
• pos.order.line
• DOI المحسوب</t>
        </is>
      </c>
      <c r="E8" s="42" t="inlineStr">
        <is>
          <t>يوفر توجيهاً فورياً لفرق العمل:
• الأصناف النافذة أو القاربة على النفاذ: أولوية قصوى للمشتريات.
• الأصناف الراكدة والفائضة: إيقاف الشراء فوراً وتنشيط العروض الترويجية أو نقلها لفروع أكثر حركة لتفادي تجميد السيولة.</t>
        </is>
      </c>
    </row>
    <row r="9" ht="144" customHeight="1">
      <c r="A9" s="44" t="inlineStr">
        <is>
          <t>تصنيف باريتو
Pareto (ABC)</t>
        </is>
      </c>
      <c r="B9" s="45" t="inlineStr">
        <is>
          <t>الإدارة العليا والمشتريات</t>
        </is>
      </c>
      <c r="C9" s="46" t="inlineStr">
        <is>
          <t>تطبيق قانون باريتو (80/15/5) على الإيرادات البيعية الإجمالية (365d Sold × Price):
• الفئة (A): الأصناف الذهبية التي تمثل أول 80% من إجمالي الإيرادات.
• الفئة (B): الأصناف التي تمثل الـ 15% التالية (80% إلى 95%).
• الفئة (C): الأصناف التي تمثل آخر 5% من الإيرادات أو صفرية المبيعات.</t>
        </is>
      </c>
      <c r="D9" s="47" t="inlineStr">
        <is>
          <t>تحليل تراكمي للمبيعات:
• pos.order.line
• product.template.list_price</t>
        </is>
      </c>
      <c r="E9" s="46" t="inlineStr">
        <is>
          <t>توجيه التركيز الإداري والاستثماري:
• فئة A: متابعة يومية وشراء مستمر؛ انقطاعها يعني فقدان معظم المبيعات.
• فئة B: مراجعة دورية منتظمة.
• فئة C: تقنين الشراء والرقابة الصارمة لتجنب تجميد رأس المال في أصناف هامشية.</t>
        </is>
      </c>
    </row>
    <row r="10" ht="54" customHeight="1">
      <c r="A10" s="40" t="inlineStr">
        <is>
          <t>الطلب المقترح (60 يوم)
Suggested PO (60d)</t>
        </is>
      </c>
      <c r="B10" s="41" t="inlineStr">
        <is>
          <t>قسم المشتريات والتخطيط</t>
        </is>
      </c>
      <c r="C10" s="42" t="inlineStr">
        <is>
          <t>الاحتياج المتوقع لـ 60 يوماً مطروحاً منه الرصيد الحالي والبضاعة بالطريق:
MAX(0, (معدل البيع اليومي × 60) - (المخزون المتوفر + Incoming))
النتيجة تكون (0) في حال كان المخزون كافياً لـ 60 يوماً.</t>
        </is>
      </c>
      <c r="D10" s="43" t="inlineStr">
        <is>
          <t>• pos.order.line (المبيعات)
• stock.quant (المخزون المتوفر)
• purchase.order.line (بضاعة بالطريق Incoming)</t>
        </is>
      </c>
      <c r="E10" s="42" t="inlineStr">
        <is>
          <t>توصية توريد آلية علمية تكفي استهلاك شهرين قادمين، وتمنع كلاً من نفاد البضائع أو تكدسها فوق الحاجة التشغيلية.</t>
        </is>
      </c>
    </row>
    <row r="11" ht="54" customHeight="1">
      <c r="A11" s="44" t="inlineStr">
        <is>
          <t>قيمة الطلب المقترح
Suggested PO Value</t>
        </is>
      </c>
      <c r="B11" s="45" t="inlineStr">
        <is>
          <t>المشتريات والمالية وإدارة الميزانية</t>
        </is>
      </c>
      <c r="C11" s="46" t="inlineStr">
        <is>
          <t>الطلب المقترح (60 يوم) × سعر الشراء الصافي من المورد (Vendor Price).
يحتوي التقرير على معادلة جمع تلقائي =SUM في صف الإجمالي لمعرفة التكلفة الإجمالية للطلبية.</t>
        </is>
      </c>
      <c r="D11" s="47" t="inlineStr">
        <is>
          <t>• كمية الطلب المقترح المحسوبة
• purchase.order.line (آخر سعر شراء)
• product.supplierinfo</t>
        </is>
      </c>
      <c r="E11" s="46" t="inlineStr">
        <is>
          <t>تقدير دقيق لحجم السيولة النقدية والميزانية المطلوبة لإصدار أوامر التوريد للمورد، مما يسهل التخطيط المالي وتوزيع الاعتمادات المالية.</t>
        </is>
      </c>
    </row>
    <row r="12" ht="72" customHeight="1">
      <c r="A12" s="40" t="inlineStr">
        <is>
          <t>توصيات المناقلة الذكية
Showroom Transfers</t>
        </is>
      </c>
      <c r="B12" s="41" t="inlineStr">
        <is>
          <t>إدارة التوزيع وسلاسل الإمداد</t>
        </is>
      </c>
      <c r="C12" s="42" t="inlineStr">
        <is>
          <t>خوارزمية ذكية تقارن رصيد ومبيعات كل معرض:
• إذا كان لدى فرع رصيد فائض (تغطية &gt; 60 يوم) وفرع آخر لديه عجز (رصيد = 0 أو تغطية &lt; 15 يوم وله مبيعات).
• تُحسب الكمية بدقة وتُعرض بصيغة: من [الفرع] ([الكمية]) إلى [الفرع].</t>
        </is>
      </c>
      <c r="D12" s="43" t="inlineStr">
        <is>
          <t>تحليل تفصيلي لمواقع المعارض:
• stock.location
• stock.quant
• pos.order.line لكل معرض</t>
        </is>
      </c>
      <c r="E12" s="42" t="inlineStr">
        <is>
          <t>استغلال المخزون الحالي بالكامل بين المعارض دون الحاجة لشراء بضاعة إضافية، وتلبية طلبات العملاء في الفروع المتعطشة عبر النقل الداخلي السريع.</t>
        </is>
      </c>
    </row>
    <row r="13" ht="72" customHeight="1">
      <c r="A13" s="44" t="inlineStr">
        <is>
          <t>تصنيف المعارض وفروع العناية
Showrooms &amp; Care Branches</t>
        </is>
      </c>
      <c r="B13" s="45" t="inlineStr">
        <is>
          <t>إدارة العمليات والمبيعات</t>
        </is>
      </c>
      <c r="C13" s="46" t="inlineStr">
        <is>
          <t>تقسيم منافذ البيع إلى نوعين رئيسيين:
1. معارض بيع عادية (Showrooms).
2. مراكز وفروع عناية (Care Branches) مثل: الصفاء، الطائف، الحمدانية، سوق الشاطئ.
تتميز فروع العناية بلون فيروزي فاتح مميز في رؤوس الأعمدة والملخصات.</t>
        </is>
      </c>
      <c r="D13" s="47" t="inlineStr">
        <is>
          <t>ملف تهيئة المعارض الداخلي:
• showroom_config.json
مع إمكانية تعديل نوع أي فرع من شاشة الإعدادات بالبرنامج.</t>
        </is>
      </c>
      <c r="E13" s="46" t="inlineStr">
        <is>
          <t>تسهيل التمييز البصري الفوري ومقارنة حجم حركة البضائع بين معارض التجزئة ومراكز العناية، وتخصيص سياسات التوزيع حسب طبيعة الفرع.</t>
        </is>
      </c>
    </row>
    <row r="14" ht="90" customHeight="1">
      <c r="A14" s="40" t="inlineStr">
        <is>
          <t>مستويات الأسعار وخصم المورد
Pricing Tiers &amp; Vendor Discounts</t>
        </is>
      </c>
      <c r="B14" s="41" t="inlineStr">
        <is>
          <t>المبيعات والمشتريات وإدارة التسعير</t>
        </is>
      </c>
      <c r="C14" s="42" t="inlineStr">
        <is>
          <t>تتبع دورة التسعير الكاملة للصنف:
• سعر المورد الأساسي (Vendor Price).
• سعر الشراء المخفض بعد الخصم الممنوح (Discounted Price).
• سعر بيع التجزئة (Sales Price).
• سعر الجملة وسعر التكلفة.</t>
        </is>
      </c>
      <c r="D14" s="43" t="inlineStr">
        <is>
          <t>• purchase.order.line (سعر وخصم أمر الشراء الأخير)
• product.supplierinfo (قائمة أسعار الموردين)
• product.template</t>
        </is>
      </c>
      <c r="E14" s="42" t="inlineStr">
        <is>
          <t>مراقبة التزام الموردين بنسب الخصومات المتفق عليها، وضمان الحفاظ على هامش ربح آمن عند تطبيق أسعار الجملة أو الخصومات الترويجية.</t>
        </is>
      </c>
    </row>
    <row r="15" ht="54" customHeight="1">
      <c r="A15" s="44" t="inlineStr">
        <is>
          <t>مطابقة مخزون المعارض والمستودع
POS vs Warehouse Stock</t>
        </is>
      </c>
      <c r="B15" s="45" t="inlineStr">
        <is>
          <t>إدارة الجرد والمستودعات والرقابة</t>
        </is>
      </c>
      <c r="C15" s="46" t="inlineStr">
        <is>
          <t>مقارنة الرصيد المتوفر في صالات المعارض (إجمالي رصيد المعارض) مع الرصيد الكلي العام للشركة (Quantity On Hand).
الفرق بينهما يمثل المخزون المتواجد في المستودع المركزي أو بضائع تحت الفحص والاستلام.</t>
        </is>
      </c>
      <c r="D15" s="47" t="inlineStr">
        <is>
          <t>• stock.quant المربوطة بمواقع نقاط البيع (POS Locations)
• إجمالي رصيد الشركة الكلي (Company On Hand)</t>
        </is>
      </c>
      <c r="E15" s="46" t="inlineStr">
        <is>
          <t>كشف أي تكدس للبضائع في المستودعات المركزية دون توزيعها على المعارض، وسرعة اكتشاف الفروقات الجردية بين النظام والواقع الفعلي.</t>
        </is>
      </c>
    </row>
    <row r="16" ht="126" customHeight="1">
      <c r="A16" s="40" t="inlineStr">
        <is>
          <t>خصم البيع وقواعد التسعير
Pricelist Discount &amp; Rules</t>
        </is>
      </c>
      <c r="B16" s="41" t="inlineStr">
        <is>
          <t>إدارة المبيعات والتسعير</t>
        </is>
      </c>
      <c r="C16" s="42" t="inlineStr">
        <is>
          <t>تطبيق القواعد النشطة في قائمة الأسعار المحددة (افتراضياً سعر الشاطئ) وفق أولوية Odoo الرسمية:
1. قاعدة المتغير المحدد (Variant)
2. قاعدة قالب المنتج (Product Template)
3. قاعدة وسوم المنتج (Product Tags)
4. قاعدة تصنيف الصنف (Category)
5. القاعدة العامة (Global)
يتم استخراج نسبة الخصم ونوع الاحتساب (نسبة / سعر ثابت / معادلة) والوسم المرتبط.</t>
        </is>
      </c>
      <c r="D16" s="43" t="inlineStr">
        <is>
          <t>• product.pricelist
• product.pricelist.item
• product.tag</t>
        </is>
      </c>
      <c r="E16" s="42" t="inlineStr">
        <is>
          <t>معرفة السعر الترويجي المعتمد لكل صنف فورياً والتحقق من تطبيق الخصومات الصحيحة وفق الحملات التسويقية والوسوم المرتبطة بها.</t>
        </is>
      </c>
    </row>
    <row r="17" ht="72" customHeight="1">
      <c r="A17" s="44" t="inlineStr">
        <is>
          <t>التكلفة الفعلية والسعر الجديد وهامش الربح
Actual Cost, Margin &amp; New Price</t>
        </is>
      </c>
      <c r="B17" s="45" t="inlineStr">
        <is>
          <t>الإدارة المالية والمشتريات</t>
        </is>
      </c>
      <c r="C17" s="46" t="inlineStr">
        <is>
          <t>• التكلفة الفعلية = اعتماد سعر الخصم من المورد Discounted Price إذا وجد &gt; 0، وإلا سعر التكلفة Cost.
• هامش الربح الفعلي بدون ضريبة = ((سعر البيع ÷ 1.15) - التكلفة الفعلية) ÷ (سعر البيع ÷ 1.15).
• السعر الجديد المقترح = تقريب ((التكلفة الفعلية ÷ 0.80) × 1.15، 2) لتحقيق هامش ربح حقيقي 20% بعد الضريبة.
تُكتب كمعادلات Excel ديناميكية تتحدث تلقائياً.</t>
        </is>
      </c>
      <c r="D17" s="47" t="inlineStr">
        <is>
          <t>• product.supplierinfo.price_discounted
• product.product.standard_price
• product.template.list_price</t>
        </is>
      </c>
      <c r="E17" s="46" t="inlineStr">
        <is>
          <t>تسعير علمي دقيق يضمن تحقيق هامش ربح صافٍ لا يقل عن 20%، مع عزل أثر ضريبة القيمة المضافة 15% واعتماد تكلفة الشراء المخفضة الحقيقية.</t>
        </is>
      </c>
    </row>
    <row r="19" ht="32" customHeight="1">
      <c r="A19" s="48" t="inlineStr">
        <is>
          <t>💡 ملاحظة إدارية: يتم احتساب وتحديث كافة هذه المؤشرات والمعادلات لحظياً ومباشرة من قاعدة بيانات Odoo أثناء التصدير لتقديم أدق صورة واقعية تدعم اتخاذ قرارات الشراء والتوزيع الفورية.</t>
        </is>
      </c>
    </row>
  </sheetData>
  <mergeCells count="3">
    <mergeCell ref="A2:E2"/>
    <mergeCell ref="A19:E19"/>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2026-09-09T08:55:43Z</dcterms:created>
  <dcterms:modified xsi:type="dcterms:W3CDTF">2026-09-09T08:55:43Z</dcterms:modified>
</cp:coreProperties>
</file>